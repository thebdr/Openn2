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ogdan.dragoi\Desktop\Safety Validation Template\Interface Templates\"/>
    </mc:Choice>
  </mc:AlternateContent>
  <xr:revisionPtr revIDLastSave="0" documentId="13_ncr:1_{1D5E4437-1F63-40BD-B80E-5F5C462553A3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&lt;GENERIC&gt;" sheetId="4" r:id="rId1"/>
    <sheet name="SOR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4" l="1"/>
  <c r="AG2" i="4"/>
  <c r="I30" i="4"/>
  <c r="I22" i="4"/>
  <c r="I11" i="4"/>
  <c r="I4" i="4"/>
  <c r="I5" i="4"/>
  <c r="I6" i="4"/>
  <c r="I7" i="4"/>
  <c r="I8" i="4"/>
  <c r="I9" i="4"/>
  <c r="I3" i="4"/>
  <c r="K20" i="4"/>
  <c r="K21" i="4"/>
  <c r="K22" i="4"/>
  <c r="K29" i="4"/>
  <c r="K30" i="4"/>
  <c r="K37" i="4"/>
  <c r="K38" i="4"/>
  <c r="K39" i="4"/>
  <c r="K40" i="4"/>
  <c r="K41" i="4"/>
  <c r="K42" i="4"/>
  <c r="K43" i="4"/>
  <c r="K44" i="4"/>
  <c r="J3" i="4"/>
  <c r="J4" i="4"/>
  <c r="J5" i="4"/>
  <c r="J6" i="4"/>
  <c r="J7" i="4"/>
  <c r="J8" i="4"/>
  <c r="J9" i="4"/>
  <c r="J10" i="4"/>
  <c r="J11" i="4"/>
  <c r="J18" i="4"/>
  <c r="J19" i="4"/>
  <c r="J20" i="4"/>
  <c r="J39" i="4"/>
  <c r="J40" i="4"/>
  <c r="J41" i="4"/>
  <c r="J42" i="4"/>
  <c r="J43" i="4"/>
  <c r="J44" i="4"/>
  <c r="J2" i="4"/>
  <c r="K15" i="2"/>
  <c r="K26" i="2"/>
  <c r="K27" i="2"/>
  <c r="K28" i="2"/>
  <c r="K29" i="2"/>
  <c r="K30" i="2"/>
  <c r="K31" i="2"/>
  <c r="J15" i="2"/>
  <c r="J16" i="2"/>
  <c r="J17" i="2"/>
  <c r="J18" i="2"/>
  <c r="J26" i="2"/>
  <c r="J27" i="2"/>
  <c r="J28" i="2"/>
  <c r="J29" i="2"/>
  <c r="J30" i="2"/>
  <c r="J31" i="2"/>
  <c r="AG2" i="2"/>
  <c r="AF3" i="2"/>
  <c r="I19" i="2"/>
  <c r="H19" i="2"/>
  <c r="I8" i="2"/>
  <c r="I4" i="2"/>
  <c r="H8" i="2"/>
  <c r="H4" i="2"/>
  <c r="AG3" i="4" l="1"/>
  <c r="K3" i="4"/>
  <c r="K4" i="4"/>
  <c r="K5" i="4"/>
  <c r="K6" i="4"/>
  <c r="K7" i="4"/>
  <c r="K8" i="4"/>
  <c r="K9" i="4"/>
  <c r="K10" i="4"/>
  <c r="K11" i="4"/>
  <c r="K18" i="4"/>
  <c r="K19" i="4"/>
  <c r="K2" i="4"/>
  <c r="K4" i="2"/>
  <c r="K8" i="2"/>
  <c r="J3" i="2"/>
  <c r="J7" i="2"/>
  <c r="J19" i="2"/>
  <c r="AG3" i="2"/>
  <c r="K3" i="2"/>
  <c r="J4" i="2"/>
  <c r="K2" i="2"/>
  <c r="K5" i="2"/>
  <c r="K7" i="2"/>
  <c r="J2" i="2"/>
  <c r="J8" i="2"/>
  <c r="J21" i="4"/>
  <c r="J30" i="4"/>
  <c r="J38" i="4"/>
  <c r="J22" i="4"/>
  <c r="J29" i="4"/>
  <c r="J37" i="4"/>
  <c r="I31" i="4"/>
  <c r="I23" i="4"/>
  <c r="I12" i="4"/>
  <c r="I9" i="2"/>
  <c r="I5" i="2"/>
  <c r="I20" i="2"/>
  <c r="H20" i="2"/>
  <c r="H21" i="2" s="1"/>
  <c r="H22" i="2" s="1"/>
  <c r="H23" i="2" s="1"/>
  <c r="H24" i="2" s="1"/>
  <c r="H9" i="2"/>
  <c r="H10" i="2" s="1"/>
  <c r="H11" i="2" s="1"/>
  <c r="H12" i="2" s="1"/>
  <c r="H5" i="2"/>
  <c r="H6" i="2" s="1"/>
  <c r="K18" i="2" l="1"/>
  <c r="K22" i="2"/>
  <c r="K20" i="2"/>
  <c r="K16" i="2"/>
  <c r="K23" i="2"/>
  <c r="K21" i="2"/>
  <c r="K19" i="2"/>
  <c r="K17" i="2"/>
  <c r="K24" i="2"/>
  <c r="K9" i="2"/>
  <c r="J5" i="2"/>
  <c r="J9" i="2"/>
  <c r="I21" i="2"/>
  <c r="J20" i="2"/>
  <c r="I32" i="4"/>
  <c r="K31" i="4"/>
  <c r="J31" i="4"/>
  <c r="I24" i="4"/>
  <c r="J23" i="4"/>
  <c r="K23" i="4"/>
  <c r="I13" i="4"/>
  <c r="K12" i="4"/>
  <c r="J12" i="4"/>
  <c r="I10" i="2"/>
  <c r="I6" i="2"/>
  <c r="H25" i="2"/>
  <c r="I25" i="2"/>
  <c r="J25" i="2" s="1"/>
  <c r="H13" i="2"/>
  <c r="H14" i="2" s="1"/>
  <c r="J21" i="2" l="1"/>
  <c r="I22" i="2"/>
  <c r="K25" i="2"/>
  <c r="I11" i="2"/>
  <c r="J10" i="2"/>
  <c r="K10" i="2"/>
  <c r="K6" i="2"/>
  <c r="J6" i="2"/>
  <c r="I33" i="4"/>
  <c r="J32" i="4"/>
  <c r="K32" i="4"/>
  <c r="I25" i="4"/>
  <c r="J24" i="4"/>
  <c r="K24" i="4"/>
  <c r="I14" i="4"/>
  <c r="K13" i="4"/>
  <c r="J13" i="4"/>
  <c r="J22" i="2" l="1"/>
  <c r="I23" i="2"/>
  <c r="J11" i="2"/>
  <c r="K11" i="2"/>
  <c r="I12" i="2"/>
  <c r="I34" i="4"/>
  <c r="J33" i="4"/>
  <c r="K33" i="4"/>
  <c r="I26" i="4"/>
  <c r="J25" i="4"/>
  <c r="K25" i="4"/>
  <c r="I15" i="4"/>
  <c r="J14" i="4"/>
  <c r="K14" i="4"/>
  <c r="J23" i="2" l="1"/>
  <c r="I24" i="2"/>
  <c r="J24" i="2" s="1"/>
  <c r="J12" i="2"/>
  <c r="K12" i="2"/>
  <c r="I13" i="2"/>
  <c r="I35" i="4"/>
  <c r="J34" i="4"/>
  <c r="K34" i="4"/>
  <c r="I27" i="4"/>
  <c r="J26" i="4"/>
  <c r="K26" i="4"/>
  <c r="I16" i="4"/>
  <c r="K15" i="4"/>
  <c r="J15" i="4"/>
  <c r="K13" i="2" l="1"/>
  <c r="J13" i="2"/>
  <c r="I14" i="2"/>
  <c r="I36" i="4"/>
  <c r="K35" i="4"/>
  <c r="J35" i="4"/>
  <c r="I28" i="4"/>
  <c r="J27" i="4"/>
  <c r="K27" i="4"/>
  <c r="I17" i="4"/>
  <c r="J16" i="4"/>
  <c r="K16" i="4"/>
  <c r="K14" i="2" l="1"/>
  <c r="J14" i="2"/>
  <c r="J36" i="4"/>
  <c r="K36" i="4"/>
  <c r="J28" i="4"/>
  <c r="K28" i="4"/>
  <c r="K17" i="4"/>
  <c r="J17" i="4"/>
</calcChain>
</file>

<file path=xl/sharedStrings.xml><?xml version="1.0" encoding="utf-8"?>
<sst xmlns="http://schemas.openxmlformats.org/spreadsheetml/2006/main" count="208" uniqueCount="54">
  <si>
    <t>Category</t>
  </si>
  <si>
    <t>Data Type</t>
  </si>
  <si>
    <t>I/O Address Side 1</t>
  </si>
  <si>
    <t>I/O Address Side 2</t>
  </si>
  <si>
    <t>Signal Name Side 1</t>
  </si>
  <si>
    <t>Signal Name Side 2</t>
  </si>
  <si>
    <t>Functional Unit</t>
  </si>
  <si>
    <t>Description</t>
  </si>
  <si>
    <t>Location</t>
  </si>
  <si>
    <t>Device</t>
  </si>
  <si>
    <t>WATCHDOG</t>
  </si>
  <si>
    <t>SAFETY_STATE</t>
  </si>
  <si>
    <t>SAFETY_ENCODER</t>
  </si>
  <si>
    <t>SAFETY_DOORS</t>
  </si>
  <si>
    <t>PNC_Q_Sorter&lt;index&gt; EMERGENCY READY TO RESET</t>
  </si>
  <si>
    <t>PNC_Q_Sorter&lt;index&gt; POWER CUT</t>
  </si>
  <si>
    <t>PNC_Q_Sorter&lt;index&gt; SAFETY ENCODER FAILURE</t>
  </si>
  <si>
    <t>PNC_Q_Sorter&lt;index&gt; EMERGENCY OK</t>
  </si>
  <si>
    <t>PNC_Q_Sorter&lt;index&gt; SAFETY DOOR OPEN 1</t>
  </si>
  <si>
    <t>PNC_Q_Sorter&lt;index&gt; SAFETY DOOR OPEN 2</t>
  </si>
  <si>
    <t>PNC_Q_Sorter&lt;index&gt; SAFETY DOOR OPEN 3</t>
  </si>
  <si>
    <t>PNC_Q_Sorter&lt;index&gt; SAFETY DOOR OPEN 4</t>
  </si>
  <si>
    <t>PNC_Q_Sorter&lt;index&gt; SAFETY DOOR OPEN 5</t>
  </si>
  <si>
    <t>PNC_Q_Sorter&lt;index&gt; SAFETY DOOR OPEN 6</t>
  </si>
  <si>
    <t>PNC_Q_Sorter&lt;index&gt; SAFETY DOOR OPEN 7</t>
  </si>
  <si>
    <t>PNC_Q_Sorter&lt;index&gt; SAFETY DOOR OPEN 8</t>
  </si>
  <si>
    <t>PNC_Q_Sorter&lt;index&gt; HEARTBEAT</t>
  </si>
  <si>
    <t>PNC_I_Sorter&lt;index&gt; SORTER RUNNING</t>
  </si>
  <si>
    <t>PNC_I_Sorter&lt;index&gt; EMERGENCY RESET</t>
  </si>
  <si>
    <t>PNC_I_Sorter&lt;index&gt; OPEN DOOR REQUEST 1</t>
  </si>
  <si>
    <t>PNC_I_Sorter&lt;index&gt; OPEN DOOR REQUEST 2</t>
  </si>
  <si>
    <t>PNC_I_Sorter&lt;index&gt; OPEN DOOR REQUEST 3</t>
  </si>
  <si>
    <t>PNC_I_Sorter&lt;index&gt; OPEN DOOR REQUEST 4</t>
  </si>
  <si>
    <t>PNC_I_Sorter&lt;index&gt; OPEN DOOR REQUEST 5</t>
  </si>
  <si>
    <t>PNC_I_Sorter&lt;index&gt; OPEN DOOR REQUEST 6</t>
  </si>
  <si>
    <t>PNC_I_Sorter&lt;index&gt; OPEN DOOR REQUEST 7</t>
  </si>
  <si>
    <t>PNC_I_Sorter&lt;index&gt; OPEN DOOR REQUEST 8</t>
  </si>
  <si>
    <t>SORTER_STATE</t>
  </si>
  <si>
    <t>SORTER_COMMANDS</t>
  </si>
  <si>
    <t>BOOL</t>
  </si>
  <si>
    <t>I/O Bit</t>
  </si>
  <si>
    <t>I/O Offset Byte</t>
  </si>
  <si>
    <t>Side</t>
  </si>
  <si>
    <t>Base Node</t>
  </si>
  <si>
    <t>Base Address</t>
  </si>
  <si>
    <t>Input Format</t>
  </si>
  <si>
    <t>Output Format</t>
  </si>
  <si>
    <t>Direction &lt;/&gt;</t>
  </si>
  <si>
    <t>&gt;</t>
  </si>
  <si>
    <t>&lt;</t>
  </si>
  <si>
    <t>I&lt;base+offset&gt;/.&lt;bit&gt;</t>
  </si>
  <si>
    <t>WORD</t>
  </si>
  <si>
    <t>Index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</si>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</sst>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onsolas"/>
      <family val="3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BankGothic Md B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0" borderId="0" xfId="0" applyFont="1"/>
    <xf numFmtId="0" fontId="6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</dxf>
    <dxf>
      <font>
        <b val="0"/>
        <strike val="0"/>
        <outline val="0"/>
        <shadow val="0"/>
        <u val="none"/>
        <vertAlign val="baseline"/>
        <color theme="1"/>
        <name val="Arial Narrow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</dxf>
    <dxf>
      <font>
        <b val="0"/>
        <strike val="0"/>
        <outline val="0"/>
        <shadow val="0"/>
        <u val="none"/>
        <vertAlign val="baseline"/>
        <color theme="1"/>
        <name val="Arial Narrow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77BB33-6EF5-41F1-97DF-E1B2FDE000E9}" name="Table136" displayName="Table136" ref="A1:M44" totalsRowShown="0" headerRowDxfId="25">
  <autoFilter ref="A1:M44" xr:uid="{BD5F56E4-42F7-4B47-A01A-6A36C5799C78}"/>
  <tableColumns count="13">
    <tableColumn id="1" xr3:uid="{C1A8CDCC-A977-4886-BD75-AE518474E3DF}" name="Category"/>
    <tableColumn id="2" xr3:uid="{5DF5A483-9B69-4A34-950D-FD862339F5B5}" name="Description"/>
    <tableColumn id="3" xr3:uid="{2D77446F-4A96-4A0E-86F2-00785222E9DC}" name="Functional Unit"/>
    <tableColumn id="4" xr3:uid="{B19EB3F8-2391-4531-B89C-314061DC326A}" name="Location"/>
    <tableColumn id="5" xr3:uid="{1B858B7E-BA05-4C61-B5D4-0AA69D52F51C}" name="Device"/>
    <tableColumn id="6" xr3:uid="{190E8FA4-A5FF-4849-97AA-41F5BCAA1766}" name="Data Type"/>
    <tableColumn id="13" xr3:uid="{268EC156-9C71-463F-98E4-3C1B5A8CC9BF}" name="Direction &lt;/&gt;"/>
    <tableColumn id="11" xr3:uid="{00C51FB6-596D-4F73-BDB0-A3C40B7DA874}" name="I/O Offset Byte" dataDxfId="24"/>
    <tableColumn id="12" xr3:uid="{F936A1C3-04B9-4F63-BBC0-D4C67406CF83}" name="I/O Bit" dataDxfId="23"/>
    <tableColumn id="7" xr3:uid="{F926F189-4B16-4E3C-A067-9C08DCD9F7B9}" name="I/O Address Side 1" dataDxfId="22">
      <calculatedColumnFormula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calculatedColumnFormula>
    </tableColumn>
    <tableColumn id="8" xr3:uid="{73FDEC40-5CAB-4B64-BA28-16B9F9537BC7}" name="I/O Address Side 2" dataDxfId="21">
      <calculatedColumnFormula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calculatedColumnFormula>
    </tableColumn>
    <tableColumn id="9" xr3:uid="{64921BE1-61CF-4457-BC09-7707D51F2EAF}" name="Signal Name Side 1"/>
    <tableColumn id="10" xr3:uid="{64BE5797-3C75-46D0-BD0E-7FD9D0B73556}" name="Signal Name Side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44D3CD-2009-4D05-9865-F62CDA949DFB}" name="Table42" displayName="Table42" ref="AB1:AG3" headerRowDxfId="7" dataDxfId="6">
  <autoFilter ref="AB1:AG3" xr:uid="{0344D3CD-2009-4D05-9865-F62CDA949DFB}"/>
  <tableColumns count="6">
    <tableColumn id="1" xr3:uid="{107172B9-7F4A-4F64-8D8B-CCBCBA078E6A}" name="Side" totalsRowLabel="Total" dataDxfId="5"/>
    <tableColumn id="6" xr3:uid="{812BC246-EB7A-4D1D-8F07-82370622A660}" name="Index" dataDxfId="4"/>
    <tableColumn id="2" xr3:uid="{A374297D-8F14-48CC-B1A8-627D8EDA20AB}" name="Base Node" dataDxfId="3"/>
    <tableColumn id="3" xr3:uid="{9AB263BD-7BD3-4F20-B2D8-7B2C51D1008D}" name="Base Address" dataDxfId="2"/>
    <tableColumn id="4" xr3:uid="{DE6D9FCA-863D-42BF-8D1F-FA1F81EBF618}" name="Input Format" dataDxfId="1"/>
    <tableColumn id="5" xr3:uid="{72E1BF84-3370-434F-BE6D-E8E3C8339F1D}" name="Output Format" totalsRowFunction="count" dataDxfId="0">
      <calculatedColumnFormula>SUBSTITUTE(Table42[[#This Row],[Input Format]], "I", "Q")</calculatedColumnFormula>
    </tableColumn>
  </tableColumns>
  <tableStyleInfo name="TableStyleMedium8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16194E-0729-47A9-8175-110B6465E684}" name="Table13" displayName="Table13" ref="A1:M31" totalsRowShown="0" headerRowDxfId="20">
  <autoFilter ref="A1:M31" xr:uid="{BD5F56E4-42F7-4B47-A01A-6A36C5799C78}"/>
  <tableColumns count="13">
    <tableColumn id="1" xr3:uid="{70AFEB14-C5E1-45B5-ACF7-FEA119CEAE3F}" name="Category"/>
    <tableColumn id="2" xr3:uid="{31CD88D7-D404-4FD1-B0A7-63DC92F748EB}" name="Description"/>
    <tableColumn id="3" xr3:uid="{CD17E971-CBFB-4819-984B-15E95230E7BA}" name="Functional Unit"/>
    <tableColumn id="4" xr3:uid="{26C9254A-88AA-424F-A480-78A5E7C2E038}" name="Location"/>
    <tableColumn id="5" xr3:uid="{1A4844D7-C1BA-4986-A65A-D47F84E7F24D}" name="Device"/>
    <tableColumn id="6" xr3:uid="{07406B08-87F7-430C-8CAC-28374B7E47F7}" name="Data Type"/>
    <tableColumn id="13" xr3:uid="{839D26DF-B1E4-434D-8ACC-2388AF9A234B}" name="Direction &lt;/&gt;"/>
    <tableColumn id="11" xr3:uid="{D9A92227-F013-4F6C-A588-9E9574C4CE1C}" name="I/O Offset Byte" dataDxfId="19"/>
    <tableColumn id="12" xr3:uid="{97652BB8-44DD-42EE-A425-E9378B3874F2}" name="I/O Bit" dataDxfId="18"/>
    <tableColumn id="7" xr3:uid="{20279FC3-8E91-4148-95EF-4F832327013B}" name="I/O Address Side 1" dataDxfId="17">
      <calculatedColumnFormula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calculatedColumnFormula>
    </tableColumn>
    <tableColumn id="8" xr3:uid="{B3774950-E106-4DC0-85A9-5D41FBC53BDD}" name="I/O Address Side 2" dataDxfId="16">
      <calculatedColumnFormula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calculatedColumnFormula>
    </tableColumn>
    <tableColumn id="9" xr3:uid="{E277C042-06B1-488A-8023-98334BC8CA03}" name="Signal Name Side 1"/>
    <tableColumn id="10" xr3:uid="{63179C02-3117-44E0-8ADF-E43A33471E53}" name="Signal Name Side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EF310B-D2FF-409B-800B-32DEE4D09497}" name="Table4" displayName="Table4" ref="AB1:AG3" headerRowDxfId="15" dataDxfId="14">
  <autoFilter ref="AB1:AG3" xr:uid="{2DEF310B-D2FF-409B-800B-32DEE4D09497}"/>
  <tableColumns count="6">
    <tableColumn id="1" xr3:uid="{073AB027-DF21-429E-926A-E480A7A031D1}" name="Side" totalsRowLabel="Total" dataDxfId="10"/>
    <tableColumn id="6" xr3:uid="{33585E7D-84FF-42F5-8EAB-E70E60C79C49}" name="Index" dataDxfId="8"/>
    <tableColumn id="2" xr3:uid="{E9A844EA-1484-4738-9D81-B2D93ECAEF6F}" name="Base Node" dataDxfId="9"/>
    <tableColumn id="3" xr3:uid="{0BA6C34E-489A-43C6-91C7-062D0DAC2C94}" name="Base Address" dataDxfId="13"/>
    <tableColumn id="4" xr3:uid="{E9B04ED3-08FF-4717-9482-3B28E745B6E4}" name="Input Format" dataDxfId="12"/>
    <tableColumn id="5" xr3:uid="{4FAECBD4-19AA-49D2-8A36-6C2BE366A78C}" name="Output Format" totalsRowFunction="count" dataDxfId="11">
      <calculatedColumnFormula>SUBSTITUTE(Table4[[#This Row],[Input Format]], "I", "Q")</calculatedColumnFormula>
    </tableColumn>
  </tableColumns>
  <tableStyleInfo name="TableStyleMedium8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3ACF0E-1B63-49CF-A892-66DB792AFF11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2CA9589A-BCC7-4FE5-AE15-D846DD500B13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1F43-BC13-4BF4-AB06-2D56E6346394}">
  <dimension ref="A1:AG44"/>
  <sheetViews>
    <sheetView tabSelected="1" topLeftCell="N1" zoomScale="146" workbookViewId="0">
      <selection activeCell="AB1" sqref="AB1"/>
    </sheetView>
  </sheetViews>
  <sheetFormatPr defaultRowHeight="15" x14ac:dyDescent="0.25"/>
  <cols>
    <col min="1" max="1" width="20.28515625" bestFit="1" customWidth="1"/>
    <col min="2" max="2" width="15.7109375" bestFit="1" customWidth="1"/>
    <col min="3" max="3" width="17.85546875" customWidth="1"/>
    <col min="4" max="4" width="13" bestFit="1" customWidth="1"/>
    <col min="5" max="5" width="11.5703125" bestFit="1" customWidth="1"/>
    <col min="6" max="7" width="7.5703125" customWidth="1"/>
    <col min="8" max="8" width="8.7109375" customWidth="1"/>
    <col min="9" max="9" width="5.7109375" customWidth="1"/>
    <col min="10" max="10" width="18.140625" bestFit="1" customWidth="1"/>
    <col min="11" max="11" width="16.140625" customWidth="1"/>
    <col min="12" max="12" width="48.85546875" bestFit="1" customWidth="1"/>
    <col min="13" max="13" width="23.7109375" customWidth="1"/>
    <col min="14" max="27" width="2.85546875" customWidth="1"/>
    <col min="28" max="28" width="9.42578125" bestFit="1" customWidth="1"/>
    <col min="29" max="29" width="6.7109375" customWidth="1"/>
    <col min="30" max="31" width="9.140625" customWidth="1"/>
    <col min="32" max="32" width="34.42578125" customWidth="1"/>
    <col min="33" max="33" width="36.7109375" customWidth="1"/>
  </cols>
  <sheetData>
    <row r="1" spans="1:33" ht="32.25" customHeight="1" x14ac:dyDescent="0.25">
      <c r="A1" s="2" t="s">
        <v>0</v>
      </c>
      <c r="B1" s="2" t="s">
        <v>7</v>
      </c>
      <c r="C1" s="2" t="s">
        <v>6</v>
      </c>
      <c r="D1" s="2" t="s">
        <v>8</v>
      </c>
      <c r="E1" s="2" t="s">
        <v>9</v>
      </c>
      <c r="F1" s="4" t="s">
        <v>1</v>
      </c>
      <c r="G1" s="4" t="s">
        <v>47</v>
      </c>
      <c r="H1" s="3" t="s">
        <v>41</v>
      </c>
      <c r="I1" s="3" t="s">
        <v>40</v>
      </c>
      <c r="J1" s="3" t="s">
        <v>2</v>
      </c>
      <c r="K1" s="3" t="s">
        <v>3</v>
      </c>
      <c r="L1" s="2" t="s">
        <v>4</v>
      </c>
      <c r="M1" s="2" t="s">
        <v>5</v>
      </c>
      <c r="AB1" s="2" t="s">
        <v>42</v>
      </c>
      <c r="AC1" s="2" t="s">
        <v>52</v>
      </c>
      <c r="AD1" s="2" t="s">
        <v>43</v>
      </c>
      <c r="AE1" s="2" t="s">
        <v>44</v>
      </c>
      <c r="AF1" s="2" t="s">
        <v>45</v>
      </c>
      <c r="AG1" s="2" t="s">
        <v>46</v>
      </c>
    </row>
    <row r="2" spans="1:33" x14ac:dyDescent="0.25">
      <c r="F2" t="s">
        <v>39</v>
      </c>
      <c r="G2" s="1" t="s">
        <v>49</v>
      </c>
      <c r="H2" s="8"/>
      <c r="I2" s="8">
        <v>0</v>
      </c>
      <c r="J2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10000</v>
      </c>
      <c r="K2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I.1010.0</v>
      </c>
      <c r="AB2" s="5">
        <v>1</v>
      </c>
      <c r="AC2" s="9" t="s">
        <v>53</v>
      </c>
      <c r="AD2" s="5">
        <v>10</v>
      </c>
      <c r="AE2" s="5">
        <v>10000</v>
      </c>
      <c r="AF2" s="5" t="s">
        <v>50</v>
      </c>
      <c r="AG2" s="5" t="str">
        <f>SUBSTITUTE(Table42[[#This Row],[Input Format]], "I", "Q")</f>
        <v>Q&lt;base+offset&gt;/.&lt;bit&gt;</v>
      </c>
    </row>
    <row r="3" spans="1:33" x14ac:dyDescent="0.25">
      <c r="F3" t="s">
        <v>39</v>
      </c>
      <c r="G3" s="1" t="s">
        <v>49</v>
      </c>
      <c r="H3" s="8"/>
      <c r="I3" s="8">
        <f>I2+1</f>
        <v>1</v>
      </c>
      <c r="J3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10000</v>
      </c>
      <c r="K3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I.1010.1</v>
      </c>
      <c r="AB3" s="5">
        <v>2</v>
      </c>
      <c r="AC3" s="9" t="s">
        <v>53</v>
      </c>
      <c r="AD3" s="5">
        <v>10</v>
      </c>
      <c r="AE3" s="5">
        <v>0</v>
      </c>
      <c r="AF3" s="5" t="str">
        <f>"I." &amp;Table42[[#This Row],[Base Node]] &amp;"&lt;base+offset&gt;/.&lt;bit&gt;"</f>
        <v>I.10&lt;base+offset&gt;/.&lt;bit&gt;</v>
      </c>
      <c r="AG3" s="5" t="str">
        <f>SUBSTITUTE(Table42[[#This Row],[Input Format]], "I", "Q")</f>
        <v>Q.10&lt;base+offset&gt;/.&lt;bit&gt;</v>
      </c>
    </row>
    <row r="4" spans="1:33" x14ac:dyDescent="0.25">
      <c r="F4" t="s">
        <v>39</v>
      </c>
      <c r="G4" s="1" t="s">
        <v>49</v>
      </c>
      <c r="H4" s="8"/>
      <c r="I4" s="8">
        <f t="shared" ref="I4:I9" si="0">I3+1</f>
        <v>2</v>
      </c>
      <c r="J4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10000</v>
      </c>
      <c r="K4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I.1010.2</v>
      </c>
    </row>
    <row r="5" spans="1:33" x14ac:dyDescent="0.25">
      <c r="F5" t="s">
        <v>39</v>
      </c>
      <c r="G5" s="1" t="s">
        <v>49</v>
      </c>
      <c r="H5" s="8"/>
      <c r="I5" s="8">
        <f t="shared" si="0"/>
        <v>3</v>
      </c>
      <c r="J5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10000</v>
      </c>
      <c r="K5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I.1010.3</v>
      </c>
    </row>
    <row r="6" spans="1:33" x14ac:dyDescent="0.25">
      <c r="F6" t="s">
        <v>39</v>
      </c>
      <c r="G6" s="1" t="s">
        <v>49</v>
      </c>
      <c r="H6" s="8"/>
      <c r="I6" s="8">
        <f t="shared" si="0"/>
        <v>4</v>
      </c>
      <c r="J6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10000</v>
      </c>
      <c r="K6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I.1010.4</v>
      </c>
    </row>
    <row r="7" spans="1:33" x14ac:dyDescent="0.25">
      <c r="F7" t="s">
        <v>39</v>
      </c>
      <c r="G7" s="1" t="s">
        <v>49</v>
      </c>
      <c r="H7" s="8"/>
      <c r="I7" s="8">
        <f t="shared" si="0"/>
        <v>5</v>
      </c>
      <c r="J7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10000</v>
      </c>
      <c r="K7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I.1010.5</v>
      </c>
    </row>
    <row r="8" spans="1:33" x14ac:dyDescent="0.25">
      <c r="F8" t="s">
        <v>39</v>
      </c>
      <c r="G8" s="1" t="s">
        <v>49</v>
      </c>
      <c r="H8" s="8"/>
      <c r="I8" s="8">
        <f t="shared" si="0"/>
        <v>6</v>
      </c>
      <c r="J8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10000</v>
      </c>
      <c r="K8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I.1010.6</v>
      </c>
    </row>
    <row r="9" spans="1:33" x14ac:dyDescent="0.25">
      <c r="F9" t="s">
        <v>39</v>
      </c>
      <c r="G9" s="1" t="s">
        <v>49</v>
      </c>
      <c r="H9" s="8"/>
      <c r="I9" s="8">
        <f t="shared" si="0"/>
        <v>7</v>
      </c>
      <c r="J9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10000</v>
      </c>
      <c r="K9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I.1010.7</v>
      </c>
    </row>
    <row r="10" spans="1:33" x14ac:dyDescent="0.25">
      <c r="F10" t="s">
        <v>39</v>
      </c>
      <c r="G10" s="1" t="s">
        <v>49</v>
      </c>
      <c r="H10" s="8">
        <v>1</v>
      </c>
      <c r="I10" s="8">
        <v>0</v>
      </c>
      <c r="J10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10000</v>
      </c>
      <c r="K10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I.1011.0</v>
      </c>
    </row>
    <row r="11" spans="1:33" x14ac:dyDescent="0.25">
      <c r="F11" t="s">
        <v>39</v>
      </c>
      <c r="G11" s="1" t="s">
        <v>49</v>
      </c>
      <c r="H11" s="8"/>
      <c r="I11" s="8">
        <f>I10+1</f>
        <v>1</v>
      </c>
      <c r="J11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10000</v>
      </c>
      <c r="K11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I.1010.1</v>
      </c>
    </row>
    <row r="12" spans="1:33" x14ac:dyDescent="0.25">
      <c r="F12" t="s">
        <v>39</v>
      </c>
      <c r="G12" s="1" t="s">
        <v>49</v>
      </c>
      <c r="H12" s="8"/>
      <c r="I12" s="8">
        <f t="shared" ref="I12:I17" si="1">I11+1</f>
        <v>2</v>
      </c>
      <c r="J12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10000</v>
      </c>
      <c r="K12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I.1010.2</v>
      </c>
    </row>
    <row r="13" spans="1:33" x14ac:dyDescent="0.25">
      <c r="F13" t="s">
        <v>39</v>
      </c>
      <c r="G13" s="1" t="s">
        <v>49</v>
      </c>
      <c r="H13" s="8"/>
      <c r="I13" s="8">
        <f t="shared" si="1"/>
        <v>3</v>
      </c>
      <c r="J13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10000</v>
      </c>
      <c r="K13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I.1010.3</v>
      </c>
    </row>
    <row r="14" spans="1:33" x14ac:dyDescent="0.25">
      <c r="F14" t="s">
        <v>39</v>
      </c>
      <c r="G14" s="1" t="s">
        <v>49</v>
      </c>
      <c r="H14" s="8"/>
      <c r="I14" s="8">
        <f t="shared" si="1"/>
        <v>4</v>
      </c>
      <c r="J14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10000</v>
      </c>
      <c r="K14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I.1010.4</v>
      </c>
    </row>
    <row r="15" spans="1:33" x14ac:dyDescent="0.25">
      <c r="F15" t="s">
        <v>39</v>
      </c>
      <c r="G15" s="1" t="s">
        <v>49</v>
      </c>
      <c r="H15" s="8"/>
      <c r="I15" s="8">
        <f t="shared" si="1"/>
        <v>5</v>
      </c>
      <c r="J15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10000</v>
      </c>
      <c r="K15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I.1010.5</v>
      </c>
    </row>
    <row r="16" spans="1:33" x14ac:dyDescent="0.25">
      <c r="F16" t="s">
        <v>39</v>
      </c>
      <c r="G16" s="1" t="s">
        <v>49</v>
      </c>
      <c r="H16" s="8"/>
      <c r="I16" s="8">
        <f t="shared" si="1"/>
        <v>6</v>
      </c>
      <c r="J16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10000</v>
      </c>
      <c r="K16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I.1010.6</v>
      </c>
    </row>
    <row r="17" spans="6:11" x14ac:dyDescent="0.25">
      <c r="F17" t="s">
        <v>39</v>
      </c>
      <c r="G17" s="1" t="s">
        <v>49</v>
      </c>
      <c r="H17" s="8"/>
      <c r="I17" s="8">
        <f t="shared" si="1"/>
        <v>7</v>
      </c>
      <c r="J17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10000</v>
      </c>
      <c r="K17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I.1010.7</v>
      </c>
    </row>
    <row r="18" spans="6:11" x14ac:dyDescent="0.25">
      <c r="F18" t="s">
        <v>51</v>
      </c>
      <c r="G18" s="1" t="s">
        <v>49</v>
      </c>
      <c r="H18" s="8">
        <v>4</v>
      </c>
      <c r="I18" s="8"/>
      <c r="J18" s="7" t="e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#N/A</v>
      </c>
      <c r="K18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I.1014</v>
      </c>
    </row>
    <row r="19" spans="6:11" x14ac:dyDescent="0.25">
      <c r="F19" t="s">
        <v>51</v>
      </c>
      <c r="G19" s="1" t="s">
        <v>49</v>
      </c>
      <c r="H19" s="8">
        <v>6</v>
      </c>
      <c r="I19" s="8"/>
      <c r="J19" s="7" t="e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#N/A</v>
      </c>
      <c r="K19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I.1016</v>
      </c>
    </row>
    <row r="20" spans="6:11" x14ac:dyDescent="0.25">
      <c r="G20" s="1"/>
      <c r="H20" s="8"/>
      <c r="I20" s="8"/>
      <c r="J20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/>
      </c>
      <c r="K20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/>
      </c>
    </row>
    <row r="21" spans="6:11" x14ac:dyDescent="0.25">
      <c r="F21" t="s">
        <v>39</v>
      </c>
      <c r="G21" s="1" t="s">
        <v>48</v>
      </c>
      <c r="H21" s="8"/>
      <c r="I21" s="8">
        <v>0</v>
      </c>
      <c r="J21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I10.0</v>
      </c>
      <c r="K21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0</v>
      </c>
    </row>
    <row r="22" spans="6:11" x14ac:dyDescent="0.25">
      <c r="F22" t="s">
        <v>39</v>
      </c>
      <c r="G22" s="1" t="s">
        <v>48</v>
      </c>
      <c r="H22" s="8"/>
      <c r="I22" s="8">
        <f>I21+1</f>
        <v>1</v>
      </c>
      <c r="J22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I10.1</v>
      </c>
      <c r="K22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0</v>
      </c>
    </row>
    <row r="23" spans="6:11" x14ac:dyDescent="0.25">
      <c r="F23" t="s">
        <v>39</v>
      </c>
      <c r="G23" s="1" t="s">
        <v>48</v>
      </c>
      <c r="H23" s="8"/>
      <c r="I23" s="8">
        <f t="shared" ref="I23:I28" si="2">I22+1</f>
        <v>2</v>
      </c>
      <c r="J23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I10.2</v>
      </c>
      <c r="K23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0</v>
      </c>
    </row>
    <row r="24" spans="6:11" x14ac:dyDescent="0.25">
      <c r="F24" t="s">
        <v>39</v>
      </c>
      <c r="G24" s="1" t="s">
        <v>48</v>
      </c>
      <c r="H24" s="8"/>
      <c r="I24" s="8">
        <f t="shared" si="2"/>
        <v>3</v>
      </c>
      <c r="J24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I10.3</v>
      </c>
      <c r="K24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0</v>
      </c>
    </row>
    <row r="25" spans="6:11" x14ac:dyDescent="0.25">
      <c r="F25" t="s">
        <v>39</v>
      </c>
      <c r="G25" s="1" t="s">
        <v>48</v>
      </c>
      <c r="H25" s="8"/>
      <c r="I25" s="8">
        <f t="shared" si="2"/>
        <v>4</v>
      </c>
      <c r="J25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I10.4</v>
      </c>
      <c r="K25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0</v>
      </c>
    </row>
    <row r="26" spans="6:11" x14ac:dyDescent="0.25">
      <c r="F26" t="s">
        <v>39</v>
      </c>
      <c r="G26" s="1" t="s">
        <v>48</v>
      </c>
      <c r="H26" s="8"/>
      <c r="I26" s="8">
        <f t="shared" si="2"/>
        <v>5</v>
      </c>
      <c r="J26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I10.5</v>
      </c>
      <c r="K26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0</v>
      </c>
    </row>
    <row r="27" spans="6:11" x14ac:dyDescent="0.25">
      <c r="F27" t="s">
        <v>39</v>
      </c>
      <c r="G27" s="1" t="s">
        <v>48</v>
      </c>
      <c r="H27" s="8"/>
      <c r="I27" s="8">
        <f t="shared" si="2"/>
        <v>6</v>
      </c>
      <c r="J27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I10.6</v>
      </c>
      <c r="K27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0</v>
      </c>
    </row>
    <row r="28" spans="6:11" x14ac:dyDescent="0.25">
      <c r="F28" t="s">
        <v>39</v>
      </c>
      <c r="G28" s="1" t="s">
        <v>48</v>
      </c>
      <c r="H28" s="8"/>
      <c r="I28" s="8">
        <f t="shared" si="2"/>
        <v>7</v>
      </c>
      <c r="J28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I10.7</v>
      </c>
      <c r="K28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0</v>
      </c>
    </row>
    <row r="29" spans="6:11" x14ac:dyDescent="0.25">
      <c r="F29" t="s">
        <v>39</v>
      </c>
      <c r="G29" s="1" t="s">
        <v>48</v>
      </c>
      <c r="H29" s="8">
        <v>1</v>
      </c>
      <c r="I29" s="8">
        <v>0</v>
      </c>
      <c r="J29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I11.0</v>
      </c>
      <c r="K29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0</v>
      </c>
    </row>
    <row r="30" spans="6:11" x14ac:dyDescent="0.25">
      <c r="F30" t="s">
        <v>39</v>
      </c>
      <c r="G30" s="1" t="s">
        <v>48</v>
      </c>
      <c r="H30" s="8"/>
      <c r="I30" s="8">
        <f>I29+1</f>
        <v>1</v>
      </c>
      <c r="J30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I10.1</v>
      </c>
      <c r="K30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0</v>
      </c>
    </row>
    <row r="31" spans="6:11" x14ac:dyDescent="0.25">
      <c r="F31" t="s">
        <v>39</v>
      </c>
      <c r="G31" s="1" t="s">
        <v>48</v>
      </c>
      <c r="H31" s="7"/>
      <c r="I31" s="8">
        <f t="shared" ref="I31:I36" si="3">I30+1</f>
        <v>2</v>
      </c>
      <c r="J31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I10.2</v>
      </c>
      <c r="K31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0</v>
      </c>
    </row>
    <row r="32" spans="6:11" x14ac:dyDescent="0.25">
      <c r="F32" t="s">
        <v>39</v>
      </c>
      <c r="G32" s="1" t="s">
        <v>48</v>
      </c>
      <c r="H32" s="7"/>
      <c r="I32" s="8">
        <f t="shared" si="3"/>
        <v>3</v>
      </c>
      <c r="J32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I10.3</v>
      </c>
      <c r="K32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0</v>
      </c>
    </row>
    <row r="33" spans="6:11" x14ac:dyDescent="0.25">
      <c r="F33" t="s">
        <v>39</v>
      </c>
      <c r="G33" s="1" t="s">
        <v>48</v>
      </c>
      <c r="H33" s="7"/>
      <c r="I33" s="8">
        <f t="shared" si="3"/>
        <v>4</v>
      </c>
      <c r="J33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I10.4</v>
      </c>
      <c r="K33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0</v>
      </c>
    </row>
    <row r="34" spans="6:11" x14ac:dyDescent="0.25">
      <c r="F34" t="s">
        <v>39</v>
      </c>
      <c r="G34" s="1" t="s">
        <v>48</v>
      </c>
      <c r="H34" s="7"/>
      <c r="I34" s="8">
        <f t="shared" si="3"/>
        <v>5</v>
      </c>
      <c r="J34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I10.5</v>
      </c>
      <c r="K34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0</v>
      </c>
    </row>
    <row r="35" spans="6:11" x14ac:dyDescent="0.25">
      <c r="F35" t="s">
        <v>39</v>
      </c>
      <c r="G35" s="1" t="s">
        <v>48</v>
      </c>
      <c r="H35" s="7"/>
      <c r="I35" s="8">
        <f t="shared" si="3"/>
        <v>6</v>
      </c>
      <c r="J35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I10.6</v>
      </c>
      <c r="K35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0</v>
      </c>
    </row>
    <row r="36" spans="6:11" x14ac:dyDescent="0.25">
      <c r="F36" t="s">
        <v>39</v>
      </c>
      <c r="G36" s="1" t="s">
        <v>48</v>
      </c>
      <c r="H36" s="7"/>
      <c r="I36" s="8">
        <f t="shared" si="3"/>
        <v>7</v>
      </c>
      <c r="J36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I10.7</v>
      </c>
      <c r="K36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0</v>
      </c>
    </row>
    <row r="37" spans="6:11" x14ac:dyDescent="0.25">
      <c r="F37" t="s">
        <v>51</v>
      </c>
      <c r="G37" s="1" t="s">
        <v>48</v>
      </c>
      <c r="H37" s="7">
        <v>4</v>
      </c>
      <c r="I37" s="7"/>
      <c r="J37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I14</v>
      </c>
      <c r="K37" s="7" t="e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#N/A</v>
      </c>
    </row>
    <row r="38" spans="6:11" x14ac:dyDescent="0.25">
      <c r="F38" t="s">
        <v>51</v>
      </c>
      <c r="G38" s="1" t="s">
        <v>48</v>
      </c>
      <c r="H38" s="7">
        <v>6</v>
      </c>
      <c r="I38" s="7"/>
      <c r="J38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>I16</v>
      </c>
      <c r="K38" s="7" t="e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>#N/A</v>
      </c>
    </row>
    <row r="39" spans="6:11" x14ac:dyDescent="0.25">
      <c r="H39" s="7"/>
      <c r="I39" s="7"/>
      <c r="J39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/>
      </c>
      <c r="K39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/>
      </c>
    </row>
    <row r="40" spans="6:11" x14ac:dyDescent="0.25">
      <c r="H40" s="7"/>
      <c r="I40" s="7"/>
      <c r="J40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/>
      </c>
      <c r="K40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/>
      </c>
    </row>
    <row r="41" spans="6:11" x14ac:dyDescent="0.25">
      <c r="H41" s="7"/>
      <c r="I41" s="7"/>
      <c r="J41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/>
      </c>
      <c r="K41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/>
      </c>
    </row>
    <row r="42" spans="6:11" x14ac:dyDescent="0.25">
      <c r="H42" s="7"/>
      <c r="I42" s="7"/>
      <c r="J42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/>
      </c>
      <c r="K42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/>
      </c>
    </row>
    <row r="43" spans="6:11" x14ac:dyDescent="0.25">
      <c r="H43" s="7"/>
      <c r="I43" s="7"/>
      <c r="J43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/>
      </c>
      <c r="K43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/>
      </c>
    </row>
    <row r="44" spans="6:11" x14ac:dyDescent="0.25">
      <c r="H44" s="7"/>
      <c r="I44" s="7"/>
      <c r="J44" s="7" t="str">
        <f>_xlfn.LET(
    _xlpm.iSynt, $AE$2,
    _xlpm.qSynt, $AF$2,
    _xlpm.synt, IF(Table136[[#This Row],[Direction &lt;/&gt;]] = "&lt;", _xlpm.iSynt, IF(Table136[[#This Row],[Direction &lt;/&gt;]] = "&gt;",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$AD$2 + Table136[[#This Row],[I/O Offset Byte]]
        ),
        ""
    )
)</f>
        <v/>
      </c>
      <c r="K44" s="7" t="str">
        <f>_xlfn.LET(
    _xlpm.iSynt, $AE$3,
    _xlpm.qSynt, $AF$3,
    _xlpm.synt, IF(Table136[[#This Row],[Direction &lt;/&gt;]] = "&gt;", _xlpm.iSynt, IF(Table136[[#This Row],[Direction &lt;/&gt;]] = "&lt;", _xlpm.qSynt, "")),
    IF(
        _xlpm.synt &lt;&gt; "",
        SUBSTITUTE(
            IF(
                Table136[[#This Row],[Data Type]] = "BOOL",
                SUBSTITUTE(SUBSTITUTE(_xlpm.synt, "/", ""), "&lt;bit&gt;", Table136[[#This Row],[I/O Bit]]),
                _xlfn.TEXTBEFORE(_xlpm.synt, "/")
            ),
            "&lt;base+offset&gt;",
            $AD$3 + Table136[[#This Row],[I/O Offset Byte]]
        ),
        ""
    )
)</f>
        <v/>
      </c>
    </row>
  </sheetData>
  <pageMargins left="0.7" right="0.7" top="0.75" bottom="0.75" header="0.3" footer="0.3"/>
  <headerFooter>
    <oddHeader>&amp;L&amp;"Aptos"&amp;10&amp;K000000 Public&amp;1#_x000D_</oddHeader>
  </headerFooter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05C2-AC71-43CC-94FB-0554D3241B01}">
  <dimension ref="A1:AG31"/>
  <sheetViews>
    <sheetView topLeftCell="L1" zoomScale="146" workbookViewId="0">
      <selection activeCell="AB1" sqref="AB1:AG3"/>
    </sheetView>
  </sheetViews>
  <sheetFormatPr defaultRowHeight="15" x14ac:dyDescent="0.25"/>
  <cols>
    <col min="1" max="1" width="20.28515625" bestFit="1" customWidth="1"/>
    <col min="2" max="2" width="15.7109375" bestFit="1" customWidth="1"/>
    <col min="3" max="3" width="17.85546875" customWidth="1"/>
    <col min="4" max="4" width="13" bestFit="1" customWidth="1"/>
    <col min="5" max="5" width="11.5703125" bestFit="1" customWidth="1"/>
    <col min="6" max="7" width="7.5703125" customWidth="1"/>
    <col min="8" max="8" width="8.7109375" customWidth="1"/>
    <col min="9" max="9" width="5.7109375" customWidth="1"/>
    <col min="10" max="10" width="18.140625" bestFit="1" customWidth="1"/>
    <col min="11" max="11" width="16.140625" customWidth="1"/>
    <col min="12" max="12" width="48.85546875" bestFit="1" customWidth="1"/>
    <col min="13" max="13" width="23.7109375" customWidth="1"/>
    <col min="14" max="27" width="2.85546875" customWidth="1"/>
    <col min="28" max="28" width="6.28515625" customWidth="1"/>
    <col min="29" max="29" width="5.7109375" customWidth="1"/>
    <col min="30" max="30" width="9.140625" customWidth="1"/>
    <col min="31" max="31" width="10" customWidth="1"/>
    <col min="32" max="32" width="34" customWidth="1"/>
    <col min="33" max="33" width="35.7109375" customWidth="1"/>
  </cols>
  <sheetData>
    <row r="1" spans="1:33" ht="32.25" customHeight="1" x14ac:dyDescent="0.25">
      <c r="A1" s="2" t="s">
        <v>0</v>
      </c>
      <c r="B1" s="2" t="s">
        <v>7</v>
      </c>
      <c r="C1" s="2" t="s">
        <v>6</v>
      </c>
      <c r="D1" s="2" t="s">
        <v>8</v>
      </c>
      <c r="E1" s="2" t="s">
        <v>9</v>
      </c>
      <c r="F1" s="4" t="s">
        <v>1</v>
      </c>
      <c r="G1" s="4" t="s">
        <v>47</v>
      </c>
      <c r="H1" s="3" t="s">
        <v>41</v>
      </c>
      <c r="I1" s="3" t="s">
        <v>40</v>
      </c>
      <c r="J1" s="3" t="s">
        <v>2</v>
      </c>
      <c r="K1" s="3" t="s">
        <v>3</v>
      </c>
      <c r="L1" s="2" t="s">
        <v>4</v>
      </c>
      <c r="M1" s="2" t="s">
        <v>5</v>
      </c>
      <c r="AB1" s="2" t="s">
        <v>42</v>
      </c>
      <c r="AC1" s="2" t="s">
        <v>52</v>
      </c>
      <c r="AD1" s="2" t="s">
        <v>43</v>
      </c>
      <c r="AE1" s="2" t="s">
        <v>44</v>
      </c>
      <c r="AF1" s="2" t="s">
        <v>45</v>
      </c>
      <c r="AG1" s="2" t="s">
        <v>46</v>
      </c>
    </row>
    <row r="2" spans="1:33" x14ac:dyDescent="0.25">
      <c r="A2" t="s">
        <v>10</v>
      </c>
      <c r="F2" t="s">
        <v>39</v>
      </c>
      <c r="G2" s="1" t="s">
        <v>48</v>
      </c>
      <c r="H2" s="6">
        <v>0</v>
      </c>
      <c r="I2" s="6">
        <v>0</v>
      </c>
      <c r="J2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Q10000.0</v>
      </c>
      <c r="K2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I.100.0</v>
      </c>
      <c r="L2" t="s">
        <v>26</v>
      </c>
      <c r="AB2" s="5">
        <v>1</v>
      </c>
      <c r="AC2" s="9" t="s">
        <v>53</v>
      </c>
      <c r="AD2" s="5">
        <v>10</v>
      </c>
      <c r="AE2" s="5">
        <v>10000</v>
      </c>
      <c r="AF2" s="5" t="s">
        <v>50</v>
      </c>
      <c r="AG2" s="5" t="str">
        <f>SUBSTITUTE(Table4[[#This Row],[Input Format]], "I", "Q")</f>
        <v>Q&lt;base+offset&gt;/.&lt;bit&gt;</v>
      </c>
    </row>
    <row r="3" spans="1:33" x14ac:dyDescent="0.25">
      <c r="A3" t="s">
        <v>11</v>
      </c>
      <c r="F3" t="s">
        <v>39</v>
      </c>
      <c r="G3" s="1" t="s">
        <v>48</v>
      </c>
      <c r="H3" s="6">
        <v>1</v>
      </c>
      <c r="I3" s="6">
        <v>0</v>
      </c>
      <c r="J3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Q10001.0</v>
      </c>
      <c r="K3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I.101.0</v>
      </c>
      <c r="L3" t="s">
        <v>15</v>
      </c>
      <c r="AB3" s="5">
        <v>2</v>
      </c>
      <c r="AC3" s="9" t="s">
        <v>53</v>
      </c>
      <c r="AD3" s="5">
        <v>10</v>
      </c>
      <c r="AE3" s="5">
        <v>0</v>
      </c>
      <c r="AF3" s="5" t="str">
        <f>"I." &amp;Table4[[#This Row],[Base Node]] &amp;"&lt;base+offset&gt;/.&lt;bit&gt;"</f>
        <v>I.10&lt;base+offset&gt;/.&lt;bit&gt;</v>
      </c>
      <c r="AG3" s="5" t="str">
        <f>SUBSTITUTE(Table4[[#This Row],[Input Format]], "I", "Q")</f>
        <v>Q.10&lt;base+offset&gt;/.&lt;bit&gt;</v>
      </c>
    </row>
    <row r="4" spans="1:33" x14ac:dyDescent="0.25">
      <c r="A4" t="s">
        <v>11</v>
      </c>
      <c r="F4" t="s">
        <v>39</v>
      </c>
      <c r="G4" s="1" t="s">
        <v>48</v>
      </c>
      <c r="H4" s="8">
        <f t="shared" ref="H4:H14" si="0">H3</f>
        <v>1</v>
      </c>
      <c r="I4" s="8">
        <f>I3+1</f>
        <v>1</v>
      </c>
      <c r="J4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Q10001.1</v>
      </c>
      <c r="K4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I.101.1</v>
      </c>
      <c r="L4" t="s">
        <v>14</v>
      </c>
    </row>
    <row r="5" spans="1:33" x14ac:dyDescent="0.25">
      <c r="A5" t="s">
        <v>11</v>
      </c>
      <c r="F5" t="s">
        <v>39</v>
      </c>
      <c r="G5" s="1" t="s">
        <v>48</v>
      </c>
      <c r="H5" s="8">
        <f t="shared" si="0"/>
        <v>1</v>
      </c>
      <c r="I5" s="8">
        <f t="shared" ref="I5:I6" si="1">I4+1</f>
        <v>2</v>
      </c>
      <c r="J5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Q10001.2</v>
      </c>
      <c r="K5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I.101.2</v>
      </c>
      <c r="L5" t="s">
        <v>17</v>
      </c>
    </row>
    <row r="6" spans="1:33" x14ac:dyDescent="0.25">
      <c r="A6" t="s">
        <v>12</v>
      </c>
      <c r="F6" t="s">
        <v>39</v>
      </c>
      <c r="G6" s="1" t="s">
        <v>48</v>
      </c>
      <c r="H6" s="8">
        <f t="shared" si="0"/>
        <v>1</v>
      </c>
      <c r="I6" s="8">
        <f t="shared" si="1"/>
        <v>3</v>
      </c>
      <c r="J6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Q10001.3</v>
      </c>
      <c r="K6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I.101.3</v>
      </c>
      <c r="L6" t="s">
        <v>16</v>
      </c>
    </row>
    <row r="7" spans="1:33" x14ac:dyDescent="0.25">
      <c r="A7" t="s">
        <v>13</v>
      </c>
      <c r="F7" t="s">
        <v>39</v>
      </c>
      <c r="G7" s="1" t="s">
        <v>48</v>
      </c>
      <c r="H7" s="6">
        <v>2</v>
      </c>
      <c r="I7" s="6">
        <v>0</v>
      </c>
      <c r="J7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Q10002.0</v>
      </c>
      <c r="K7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I.102.0</v>
      </c>
      <c r="L7" t="s">
        <v>18</v>
      </c>
    </row>
    <row r="8" spans="1:33" x14ac:dyDescent="0.25">
      <c r="A8" t="s">
        <v>13</v>
      </c>
      <c r="F8" t="s">
        <v>39</v>
      </c>
      <c r="G8" s="1" t="s">
        <v>48</v>
      </c>
      <c r="H8" s="8">
        <f t="shared" si="0"/>
        <v>2</v>
      </c>
      <c r="I8" s="8">
        <f>I7+1</f>
        <v>1</v>
      </c>
      <c r="J8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Q10002.1</v>
      </c>
      <c r="K8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I.102.1</v>
      </c>
      <c r="L8" t="s">
        <v>19</v>
      </c>
    </row>
    <row r="9" spans="1:33" x14ac:dyDescent="0.25">
      <c r="A9" t="s">
        <v>13</v>
      </c>
      <c r="F9" t="s">
        <v>39</v>
      </c>
      <c r="G9" s="1" t="s">
        <v>48</v>
      </c>
      <c r="H9" s="8">
        <f t="shared" si="0"/>
        <v>2</v>
      </c>
      <c r="I9" s="8">
        <f t="shared" ref="I9:I14" si="2">I8+1</f>
        <v>2</v>
      </c>
      <c r="J9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Q10002.2</v>
      </c>
      <c r="K9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I.102.2</v>
      </c>
      <c r="L9" t="s">
        <v>20</v>
      </c>
    </row>
    <row r="10" spans="1:33" x14ac:dyDescent="0.25">
      <c r="A10" t="s">
        <v>13</v>
      </c>
      <c r="F10" t="s">
        <v>39</v>
      </c>
      <c r="G10" s="1" t="s">
        <v>48</v>
      </c>
      <c r="H10" s="8">
        <f t="shared" si="0"/>
        <v>2</v>
      </c>
      <c r="I10" s="8">
        <f t="shared" si="2"/>
        <v>3</v>
      </c>
      <c r="J10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Q10002.3</v>
      </c>
      <c r="K10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I.102.3</v>
      </c>
      <c r="L10" t="s">
        <v>21</v>
      </c>
    </row>
    <row r="11" spans="1:33" x14ac:dyDescent="0.25">
      <c r="A11" t="s">
        <v>13</v>
      </c>
      <c r="F11" t="s">
        <v>39</v>
      </c>
      <c r="G11" s="1" t="s">
        <v>48</v>
      </c>
      <c r="H11" s="8">
        <f t="shared" si="0"/>
        <v>2</v>
      </c>
      <c r="I11" s="8">
        <f t="shared" si="2"/>
        <v>4</v>
      </c>
      <c r="J11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Q10002.4</v>
      </c>
      <c r="K11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I.102.4</v>
      </c>
      <c r="L11" t="s">
        <v>22</v>
      </c>
    </row>
    <row r="12" spans="1:33" x14ac:dyDescent="0.25">
      <c r="A12" t="s">
        <v>13</v>
      </c>
      <c r="F12" t="s">
        <v>39</v>
      </c>
      <c r="G12" s="1" t="s">
        <v>48</v>
      </c>
      <c r="H12" s="8">
        <f t="shared" si="0"/>
        <v>2</v>
      </c>
      <c r="I12" s="8">
        <f t="shared" si="2"/>
        <v>5</v>
      </c>
      <c r="J12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Q10002.5</v>
      </c>
      <c r="K12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I.102.5</v>
      </c>
      <c r="L12" t="s">
        <v>23</v>
      </c>
    </row>
    <row r="13" spans="1:33" x14ac:dyDescent="0.25">
      <c r="A13" t="s">
        <v>13</v>
      </c>
      <c r="F13" t="s">
        <v>39</v>
      </c>
      <c r="G13" s="1" t="s">
        <v>48</v>
      </c>
      <c r="H13" s="8">
        <f t="shared" si="0"/>
        <v>2</v>
      </c>
      <c r="I13" s="8">
        <f t="shared" si="2"/>
        <v>6</v>
      </c>
      <c r="J13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Q10002.6</v>
      </c>
      <c r="K13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I.102.6</v>
      </c>
      <c r="L13" t="s">
        <v>24</v>
      </c>
    </row>
    <row r="14" spans="1:33" x14ac:dyDescent="0.25">
      <c r="A14" t="s">
        <v>13</v>
      </c>
      <c r="F14" t="s">
        <v>39</v>
      </c>
      <c r="G14" s="1" t="s">
        <v>48</v>
      </c>
      <c r="H14" s="8">
        <f t="shared" si="0"/>
        <v>2</v>
      </c>
      <c r="I14" s="8">
        <f t="shared" si="2"/>
        <v>7</v>
      </c>
      <c r="J14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Q10002.7</v>
      </c>
      <c r="K14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I.102.7</v>
      </c>
      <c r="L14" t="s">
        <v>25</v>
      </c>
    </row>
    <row r="15" spans="1:33" x14ac:dyDescent="0.25">
      <c r="G15" s="1"/>
      <c r="H15" s="8"/>
      <c r="I15" s="8"/>
      <c r="J15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/>
      </c>
      <c r="K15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/>
      </c>
    </row>
    <row r="16" spans="1:33" x14ac:dyDescent="0.25">
      <c r="A16" t="s">
        <v>37</v>
      </c>
      <c r="F16" t="s">
        <v>39</v>
      </c>
      <c r="G16" s="1" t="s">
        <v>49</v>
      </c>
      <c r="H16" s="6">
        <v>0</v>
      </c>
      <c r="I16" s="6">
        <v>0</v>
      </c>
      <c r="J16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I10000.0</v>
      </c>
      <c r="K16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Q.100.0</v>
      </c>
      <c r="L16" t="s">
        <v>27</v>
      </c>
    </row>
    <row r="17" spans="1:12" x14ac:dyDescent="0.25">
      <c r="A17" t="s">
        <v>38</v>
      </c>
      <c r="F17" t="s">
        <v>39</v>
      </c>
      <c r="G17" s="1" t="s">
        <v>49</v>
      </c>
      <c r="H17" s="6">
        <v>1</v>
      </c>
      <c r="I17" s="6">
        <v>0</v>
      </c>
      <c r="J17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I10001.0</v>
      </c>
      <c r="K17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Q.101.0</v>
      </c>
      <c r="L17" t="s">
        <v>28</v>
      </c>
    </row>
    <row r="18" spans="1:12" x14ac:dyDescent="0.25">
      <c r="A18" t="s">
        <v>13</v>
      </c>
      <c r="F18" t="s">
        <v>39</v>
      </c>
      <c r="G18" s="1" t="s">
        <v>49</v>
      </c>
      <c r="H18" s="6">
        <v>2</v>
      </c>
      <c r="I18" s="6">
        <v>0</v>
      </c>
      <c r="J18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I10002.0</v>
      </c>
      <c r="K18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Q.102.0</v>
      </c>
      <c r="L18" t="s">
        <v>29</v>
      </c>
    </row>
    <row r="19" spans="1:12" x14ac:dyDescent="0.25">
      <c r="A19" t="s">
        <v>13</v>
      </c>
      <c r="F19" t="s">
        <v>39</v>
      </c>
      <c r="G19" s="1" t="s">
        <v>49</v>
      </c>
      <c r="H19" s="8">
        <f t="shared" ref="H19:H25" si="3">H18</f>
        <v>2</v>
      </c>
      <c r="I19" s="8">
        <f>I18+1</f>
        <v>1</v>
      </c>
      <c r="J19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I10002.1</v>
      </c>
      <c r="K19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Q.102.1</v>
      </c>
      <c r="L19" t="s">
        <v>30</v>
      </c>
    </row>
    <row r="20" spans="1:12" x14ac:dyDescent="0.25">
      <c r="A20" t="s">
        <v>13</v>
      </c>
      <c r="F20" t="s">
        <v>39</v>
      </c>
      <c r="G20" s="1" t="s">
        <v>49</v>
      </c>
      <c r="H20" s="8">
        <f t="shared" si="3"/>
        <v>2</v>
      </c>
      <c r="I20" s="8">
        <f t="shared" ref="I20:I25" si="4">I19+1</f>
        <v>2</v>
      </c>
      <c r="J20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I10002.2</v>
      </c>
      <c r="K20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Q.102.2</v>
      </c>
      <c r="L20" t="s">
        <v>31</v>
      </c>
    </row>
    <row r="21" spans="1:12" x14ac:dyDescent="0.25">
      <c r="A21" t="s">
        <v>13</v>
      </c>
      <c r="F21" t="s">
        <v>39</v>
      </c>
      <c r="G21" s="1" t="s">
        <v>49</v>
      </c>
      <c r="H21" s="8">
        <f t="shared" si="3"/>
        <v>2</v>
      </c>
      <c r="I21" s="8">
        <f t="shared" si="4"/>
        <v>3</v>
      </c>
      <c r="J21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I10002.3</v>
      </c>
      <c r="K21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Q.102.3</v>
      </c>
      <c r="L21" t="s">
        <v>32</v>
      </c>
    </row>
    <row r="22" spans="1:12" x14ac:dyDescent="0.25">
      <c r="A22" t="s">
        <v>13</v>
      </c>
      <c r="F22" t="s">
        <v>39</v>
      </c>
      <c r="G22" s="1" t="s">
        <v>49</v>
      </c>
      <c r="H22" s="8">
        <f t="shared" si="3"/>
        <v>2</v>
      </c>
      <c r="I22" s="8">
        <f t="shared" si="4"/>
        <v>4</v>
      </c>
      <c r="J22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I10002.4</v>
      </c>
      <c r="K22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Q.102.4</v>
      </c>
      <c r="L22" t="s">
        <v>33</v>
      </c>
    </row>
    <row r="23" spans="1:12" x14ac:dyDescent="0.25">
      <c r="A23" t="s">
        <v>13</v>
      </c>
      <c r="F23" t="s">
        <v>39</v>
      </c>
      <c r="G23" s="1" t="s">
        <v>49</v>
      </c>
      <c r="H23" s="8">
        <f t="shared" si="3"/>
        <v>2</v>
      </c>
      <c r="I23" s="8">
        <f t="shared" si="4"/>
        <v>5</v>
      </c>
      <c r="J23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I10002.5</v>
      </c>
      <c r="K23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Q.102.5</v>
      </c>
      <c r="L23" t="s">
        <v>34</v>
      </c>
    </row>
    <row r="24" spans="1:12" x14ac:dyDescent="0.25">
      <c r="A24" t="s">
        <v>13</v>
      </c>
      <c r="F24" t="s">
        <v>39</v>
      </c>
      <c r="G24" s="1" t="s">
        <v>49</v>
      </c>
      <c r="H24" s="8">
        <f t="shared" si="3"/>
        <v>2</v>
      </c>
      <c r="I24" s="8">
        <f t="shared" si="4"/>
        <v>6</v>
      </c>
      <c r="J24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I10002.6</v>
      </c>
      <c r="K24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Q.102.6</v>
      </c>
      <c r="L24" t="s">
        <v>35</v>
      </c>
    </row>
    <row r="25" spans="1:12" x14ac:dyDescent="0.25">
      <c r="A25" t="s">
        <v>13</v>
      </c>
      <c r="F25" t="s">
        <v>39</v>
      </c>
      <c r="G25" s="1" t="s">
        <v>49</v>
      </c>
      <c r="H25" s="8">
        <f t="shared" si="3"/>
        <v>2</v>
      </c>
      <c r="I25" s="8">
        <f t="shared" si="4"/>
        <v>7</v>
      </c>
      <c r="J25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>I10002.7</v>
      </c>
      <c r="K25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>Q.102.7</v>
      </c>
      <c r="L25" t="s">
        <v>36</v>
      </c>
    </row>
    <row r="26" spans="1:12" x14ac:dyDescent="0.25">
      <c r="G26" s="1"/>
      <c r="H26" s="8"/>
      <c r="I26" s="8"/>
      <c r="J26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/>
      </c>
      <c r="K26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/>
      </c>
    </row>
    <row r="27" spans="1:12" x14ac:dyDescent="0.25">
      <c r="G27" s="1"/>
      <c r="H27" s="8"/>
      <c r="I27" s="8"/>
      <c r="J27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/>
      </c>
      <c r="K27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/>
      </c>
    </row>
    <row r="28" spans="1:12" x14ac:dyDescent="0.25">
      <c r="G28" s="1"/>
      <c r="H28" s="8"/>
      <c r="I28" s="8"/>
      <c r="J28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/>
      </c>
      <c r="K28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/>
      </c>
    </row>
    <row r="29" spans="1:12" x14ac:dyDescent="0.25">
      <c r="G29" s="1"/>
      <c r="H29" s="8"/>
      <c r="I29" s="8"/>
      <c r="J29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/>
      </c>
      <c r="K29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/>
      </c>
    </row>
    <row r="30" spans="1:12" x14ac:dyDescent="0.25">
      <c r="G30" s="1"/>
      <c r="H30" s="8"/>
      <c r="I30" s="8"/>
      <c r="J30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/>
      </c>
      <c r="K30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/>
      </c>
    </row>
    <row r="31" spans="1:12" x14ac:dyDescent="0.25">
      <c r="H31" s="7"/>
      <c r="I31" s="7"/>
      <c r="J31" s="7" t="str">
        <f>_xlfn.LET(
    _xlpm.iSynt, $AF$2,
    _xlpm.qSynt, $AG$2,
    _xlpm.synt, IF(Table13[[#This Row],[Direction &lt;/&gt;]] = "&lt;", _xlpm.iSynt, IF(Table13[[#This Row],[Direction &lt;/&gt;]] = "&gt;",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$AE$2 + Table13[[#This Row],[I/O Offset Byte]]
        ),
        ""
    )
)</f>
        <v/>
      </c>
      <c r="K31" s="7" t="str">
        <f>_xlfn.LET(
    _xlpm.iSynt, $AF$3,
    _xlpm.qSynt, $AG$3,
    _xlpm.synt, IF(Table13[[#This Row],[Direction &lt;/&gt;]] = "&gt;", _xlpm.iSynt, IF(Table13[[#This Row],[Direction &lt;/&gt;]] = "&lt;", _xlpm.qSynt, "")),
    IF(
        _xlpm.synt &lt;&gt; "",
        SUBSTITUTE(
            IF(
                Table13[[#This Row],[Data Type]] = "BOOL",
                SUBSTITUTE(SUBSTITUTE(_xlpm.synt, "/", ""), "&lt;bit&gt;", Table13[[#This Row],[I/O Bit]]),
                _xlfn.TEXTBEFORE(_xlpm.synt, "/")
            ),
            "&lt;base+offset&gt;",
            $AE$3 + Table13[[#This Row],[I/O Offset Byte]]
        ),
        ""
    )
)</f>
        <v/>
      </c>
    </row>
  </sheetData>
  <phoneticPr fontId="1" type="noConversion"/>
  <pageMargins left="0.7" right="0.7" top="0.75" bottom="0.75" header="0.3" footer="0.3"/>
  <headerFooter>
    <oddHeader>&amp;L&amp;"Aptos"&amp;10&amp;K000000 Public&amp;1#_x000D_</oddHead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nACIALAAiAHQAaABvAHUAcwBhAG4AZABzAFAAbwBzAGkAdABpAG8AbgBzACIAOgBbADMAXQAsACIAZABlAGMAaQBtAGEAbABTAGUAcABhAHIAYQB0AG8AcgAiADoAIgAuACIALAAiAGQAYQB0AGUATwByAGQAZQByACIAOgAiAEQATQBZACIALAAiAGMAdQByAHIAZQBuAGMAeQBTAHkAbQBiAG8AbAAiADoAIgCsICIALAAiAGkAcwBDAHUAcgByAGUAbgBjAHkAUwB5AG0AYgBvAGwATABlAGEAZAAiADoAZgBhAGwAcwBlACwAIgBpAHMAQwB1AHIAcgBlAG4AYwB5AFMAZQBwAEIAeQBTAHAAYQBjAGUAIgA6AHQAcgB1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2CA9589A-BCC7-4FE5-AE15-D846DD500B13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&lt;GENERIC&gt;</vt:lpstr>
      <vt:lpstr>SORTER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Dragoi, Bogdan</dc:creator>
  <cp:lastModifiedBy>DRAGOI Bogdan petre1</cp:lastModifiedBy>
  <dcterms:created xsi:type="dcterms:W3CDTF">2015-06-05T18:17:20Z</dcterms:created>
  <dcterms:modified xsi:type="dcterms:W3CDTF">2026-06-14T02:19:34Z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855102-e3c4-49e9-9e1c-4559f787afe5_Enabled">
    <vt:lpwstr>true</vt:lpwstr>
  </property>
  <property fmtid="{D5CDD505-2E9C-101B-9397-08002B2CF9AE}" pid="3" name="MSIP_Label_bd855102-e3c4-49e9-9e1c-4559f787afe5_SetDate">
    <vt:lpwstr>2026-06-14T01:13:00Z</vt:lpwstr>
  </property>
  <property fmtid="{D5CDD505-2E9C-101B-9397-08002B2CF9AE}" pid="4" name="MSIP_Label_bd855102-e3c4-49e9-9e1c-4559f787afe5_Method">
    <vt:lpwstr>Privileged</vt:lpwstr>
  </property>
  <property fmtid="{D5CDD505-2E9C-101B-9397-08002B2CF9AE}" pid="5" name="MSIP_Label_bd855102-e3c4-49e9-9e1c-4559f787afe5_Name">
    <vt:lpwstr>FIL-IT-C1-Public</vt:lpwstr>
  </property>
  <property fmtid="{D5CDD505-2E9C-101B-9397-08002B2CF9AE}" pid="6" name="MSIP_Label_bd855102-e3c4-49e9-9e1c-4559f787afe5_SiteId">
    <vt:lpwstr>8eeda45f-61e4-4e2c-ac8b-6019b84f9775</vt:lpwstr>
  </property>
  <property fmtid="{D5CDD505-2E9C-101B-9397-08002B2CF9AE}" pid="7" name="MSIP_Label_bd855102-e3c4-49e9-9e1c-4559f787afe5_ActionId">
    <vt:lpwstr>04399b48-df61-470e-82d6-65e85d0892b7</vt:lpwstr>
  </property>
  <property fmtid="{D5CDD505-2E9C-101B-9397-08002B2CF9AE}" pid="8" name="MSIP_Label_bd855102-e3c4-49e9-9e1c-4559f787afe5_ContentBits">
    <vt:lpwstr>1</vt:lpwstr>
  </property>
  <property fmtid="{D5CDD505-2E9C-101B-9397-08002B2CF9AE}" pid="9" name="MSIP_Label_bd855102-e3c4-49e9-9e1c-4559f787afe5_Tag">
    <vt:lpwstr>10, 0, 1, 1</vt:lpwstr>
  </property>
</Properties>
</file>