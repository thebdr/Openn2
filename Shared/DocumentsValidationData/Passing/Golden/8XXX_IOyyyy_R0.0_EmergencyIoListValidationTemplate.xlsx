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\Repos\_Openn2\Shared\DocumentsValidationData\Passing\"/>
    </mc:Choice>
  </mc:AlternateContent>
  <xr:revisionPtr revIDLastSave="0" documentId="13_ncr:1_{B53EA530-D445-4876-9865-49734F7AE4B0}" xr6:coauthVersionLast="47" xr6:coauthVersionMax="47" xr10:uidLastSave="{00000000-0000-0000-0000-000000000000}"/>
  <bookViews>
    <workbookView xWindow="-120" yWindow="-120" windowWidth="29040" windowHeight="17790" activeTab="6" xr2:uid="{00000000-000D-0000-FFFF-FFFF00000000}"/>
  </bookViews>
  <sheets>
    <sheet name="COVER" sheetId="1" r:id="rId1"/>
    <sheet name="NET SAFETY 50" sheetId="2" r:id="rId2"/>
    <sheet name="NET SAFETY 51" sheetId="3" r:id="rId3"/>
    <sheet name="DiagnosisBlocks" sheetId="4" r:id="rId4"/>
    <sheet name="_UnresolvedIndex" sheetId="5" r:id="rId5"/>
    <sheet name="SORTER-01" sheetId="6" r:id="rId6"/>
    <sheet name="SORTER+DIAG-02" sheetId="7" r:id="rId7"/>
  </sheets>
  <definedNames>
    <definedName name="_xlnm._FilterDatabase" localSheetId="1" hidden="1">'NET SAFETY 50'!$A$1:$AF$9238</definedName>
    <definedName name="_xlnm._FilterDatabase" localSheetId="2" hidden="1">'NET SAFETY 51'!$A$1:$AF$9235</definedName>
    <definedName name="H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6" i="7" l="1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39" i="7"/>
  <c r="M337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N31" i="7"/>
  <c r="M31" i="7"/>
  <c r="N15" i="7"/>
  <c r="M15" i="7"/>
  <c r="M9" i="7"/>
  <c r="M8" i="7"/>
  <c r="L4" i="7"/>
  <c r="K4" i="7"/>
  <c r="AI3" i="7"/>
  <c r="AJ2" i="7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1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8" i="6"/>
  <c r="M97" i="6"/>
  <c r="M96" i="6"/>
  <c r="M95" i="6"/>
  <c r="M94" i="6"/>
  <c r="M93" i="6"/>
  <c r="M74" i="6"/>
  <c r="M73" i="6"/>
  <c r="M72" i="6"/>
  <c r="M71" i="6"/>
  <c r="M70" i="6"/>
  <c r="M69" i="6"/>
  <c r="M68" i="6"/>
  <c r="M67" i="6"/>
  <c r="M66" i="6"/>
  <c r="M64" i="6"/>
  <c r="M63" i="6"/>
  <c r="M62" i="6"/>
  <c r="M61" i="6"/>
  <c r="M42" i="6"/>
  <c r="M41" i="6"/>
  <c r="M40" i="6"/>
  <c r="M39" i="6"/>
  <c r="M38" i="6"/>
  <c r="M37" i="6"/>
  <c r="M36" i="6"/>
  <c r="M35" i="6"/>
  <c r="M34" i="6"/>
  <c r="M33" i="6"/>
  <c r="M32" i="6"/>
  <c r="N31" i="6"/>
  <c r="M31" i="6"/>
  <c r="N15" i="6"/>
  <c r="M15" i="6"/>
  <c r="M9" i="6"/>
  <c r="M8" i="6"/>
  <c r="L4" i="6"/>
  <c r="K4" i="6"/>
  <c r="AI3" i="6"/>
  <c r="N3" i="6"/>
  <c r="AJ2" i="6"/>
  <c r="N2" i="6"/>
  <c r="M2" i="6"/>
  <c r="W123" i="2"/>
  <c r="V123" i="2"/>
  <c r="W66" i="2"/>
  <c r="V66" i="2"/>
  <c r="W9" i="2"/>
  <c r="V9" i="2"/>
  <c r="W6" i="2"/>
  <c r="V6" i="2"/>
  <c r="W5" i="2"/>
  <c r="V5" i="2"/>
  <c r="W4" i="2"/>
  <c r="V4" i="2"/>
  <c r="W3" i="2"/>
  <c r="V3" i="2"/>
  <c r="W120" i="3"/>
  <c r="V120" i="3"/>
  <c r="W63" i="3"/>
  <c r="V63" i="3"/>
  <c r="W6" i="3"/>
  <c r="V6" i="3"/>
  <c r="W5" i="3"/>
  <c r="V5" i="3"/>
  <c r="W4" i="3"/>
  <c r="V4" i="3"/>
  <c r="W3" i="3"/>
  <c r="V3" i="3"/>
  <c r="N339" i="7" l="1"/>
  <c r="N337" i="7"/>
  <c r="N335" i="7"/>
  <c r="N334" i="7"/>
  <c r="N333" i="7"/>
  <c r="N331" i="7"/>
  <c r="N330" i="7"/>
  <c r="N329" i="7"/>
  <c r="N328" i="7"/>
  <c r="N327" i="7"/>
  <c r="N325" i="7"/>
  <c r="N324" i="7"/>
  <c r="N40" i="7"/>
  <c r="N332" i="7"/>
  <c r="N326" i="7"/>
  <c r="N151" i="6"/>
  <c r="N148" i="6"/>
  <c r="N147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5" i="6"/>
  <c r="N114" i="6"/>
  <c r="N113" i="6"/>
  <c r="N112" i="6"/>
  <c r="N109" i="6"/>
  <c r="N108" i="6"/>
  <c r="N107" i="6"/>
  <c r="N106" i="6"/>
  <c r="N105" i="6"/>
  <c r="N102" i="6"/>
  <c r="N101" i="6"/>
  <c r="N98" i="6"/>
  <c r="N96" i="6"/>
  <c r="N94" i="6"/>
  <c r="N73" i="6"/>
  <c r="N71" i="6"/>
  <c r="N69" i="6"/>
  <c r="N66" i="6"/>
  <c r="N64" i="6"/>
  <c r="N61" i="6"/>
  <c r="N40" i="6"/>
  <c r="N39" i="6"/>
  <c r="N36" i="6"/>
  <c r="N33" i="6"/>
  <c r="N32" i="6"/>
  <c r="N149" i="6"/>
  <c r="N110" i="6"/>
  <c r="N104" i="6"/>
  <c r="N100" i="6"/>
  <c r="N95" i="6"/>
  <c r="N74" i="6"/>
  <c r="N70" i="6"/>
  <c r="N67" i="6"/>
  <c r="N63" i="6"/>
  <c r="N42" i="6"/>
  <c r="N38" i="6"/>
  <c r="N35" i="6"/>
  <c r="N146" i="6"/>
  <c r="N111" i="6"/>
  <c r="N103" i="6"/>
  <c r="N97" i="6"/>
  <c r="N93" i="6"/>
  <c r="N72" i="6"/>
  <c r="N68" i="6"/>
  <c r="N62" i="6"/>
  <c r="N41" i="6"/>
  <c r="N37" i="6"/>
  <c r="N34" i="6"/>
  <c r="N323" i="7"/>
  <c r="M323" i="7"/>
  <c r="N322" i="7"/>
  <c r="M322" i="7"/>
  <c r="N321" i="7"/>
  <c r="M321" i="7"/>
  <c r="N320" i="7"/>
  <c r="M320" i="7"/>
  <c r="N318" i="7"/>
  <c r="M318" i="7"/>
  <c r="N317" i="7"/>
  <c r="M317" i="7"/>
  <c r="N316" i="7"/>
  <c r="M316" i="7"/>
  <c r="N315" i="7"/>
  <c r="M315" i="7"/>
  <c r="N314" i="7"/>
  <c r="M314" i="7"/>
  <c r="N313" i="7"/>
  <c r="M313" i="7"/>
  <c r="N312" i="7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1" i="7"/>
  <c r="M301" i="7"/>
  <c r="N300" i="7"/>
  <c r="M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N128" i="7"/>
  <c r="N125" i="7"/>
  <c r="M123" i="7"/>
  <c r="M119" i="7"/>
  <c r="M114" i="7"/>
  <c r="N110" i="7"/>
  <c r="N107" i="7"/>
  <c r="N105" i="7"/>
  <c r="N102" i="7"/>
  <c r="L5" i="7"/>
  <c r="L6" i="7" s="1"/>
  <c r="AJ3" i="7"/>
  <c r="N291" i="7"/>
  <c r="M291" i="7"/>
  <c r="N290" i="7"/>
  <c r="M290" i="7"/>
  <c r="N289" i="7"/>
  <c r="M289" i="7"/>
  <c r="N288" i="7"/>
  <c r="M288" i="7"/>
  <c r="N287" i="7"/>
  <c r="M287" i="7"/>
  <c r="N286" i="7"/>
  <c r="M286" i="7"/>
  <c r="N284" i="7"/>
  <c r="M284" i="7"/>
  <c r="N283" i="7"/>
  <c r="M283" i="7"/>
  <c r="N282" i="7"/>
  <c r="M282" i="7"/>
  <c r="N281" i="7"/>
  <c r="M281" i="7"/>
  <c r="N280" i="7"/>
  <c r="M280" i="7"/>
  <c r="N279" i="7"/>
  <c r="M279" i="7"/>
  <c r="N278" i="7"/>
  <c r="M278" i="7"/>
  <c r="N277" i="7"/>
  <c r="M277" i="7"/>
  <c r="N276" i="7"/>
  <c r="M276" i="7"/>
  <c r="N275" i="7"/>
  <c r="M275" i="7"/>
  <c r="N274" i="7"/>
  <c r="M274" i="7"/>
  <c r="N273" i="7"/>
  <c r="M273" i="7"/>
  <c r="N272" i="7"/>
  <c r="M272" i="7"/>
  <c r="N271" i="7"/>
  <c r="M271" i="7"/>
  <c r="N270" i="7"/>
  <c r="M270" i="7"/>
  <c r="N269" i="7"/>
  <c r="M269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28" i="7"/>
  <c r="N198" i="7"/>
  <c r="M197" i="7"/>
  <c r="N170" i="7"/>
  <c r="N169" i="7"/>
  <c r="N167" i="7"/>
  <c r="N165" i="7"/>
  <c r="N164" i="7"/>
  <c r="N131" i="7"/>
  <c r="N129" i="7"/>
  <c r="N127" i="7"/>
  <c r="M125" i="7"/>
  <c r="M122" i="7"/>
  <c r="N118" i="7"/>
  <c r="M116" i="7"/>
  <c r="M112" i="7"/>
  <c r="N108" i="7"/>
  <c r="M106" i="7"/>
  <c r="N103" i="7"/>
  <c r="M101" i="7"/>
  <c r="N2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0" i="7"/>
  <c r="M250" i="7"/>
  <c r="N249" i="7"/>
  <c r="M249" i="7"/>
  <c r="N248" i="7"/>
  <c r="M248" i="7"/>
  <c r="N247" i="7"/>
  <c r="M247" i="7"/>
  <c r="N246" i="7"/>
  <c r="M246" i="7"/>
  <c r="N245" i="7"/>
  <c r="M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M236" i="7"/>
  <c r="N235" i="7"/>
  <c r="M235" i="7"/>
  <c r="N233" i="7"/>
  <c r="M233" i="7"/>
  <c r="N232" i="7"/>
  <c r="M232" i="7"/>
  <c r="N231" i="7"/>
  <c r="M231" i="7"/>
  <c r="N230" i="7"/>
  <c r="M230" i="7"/>
  <c r="N229" i="7"/>
  <c r="M229" i="7"/>
  <c r="M228" i="7"/>
  <c r="M198" i="7"/>
  <c r="M196" i="7"/>
  <c r="M170" i="7"/>
  <c r="M168" i="7"/>
  <c r="M165" i="7"/>
  <c r="M133" i="7"/>
  <c r="M129" i="7"/>
  <c r="M126" i="7"/>
  <c r="N122" i="7"/>
  <c r="M120" i="7"/>
  <c r="M117" i="7"/>
  <c r="N111" i="7"/>
  <c r="N109" i="7"/>
  <c r="M107" i="7"/>
  <c r="M103" i="7"/>
  <c r="N4" i="7"/>
  <c r="N3" i="7"/>
  <c r="M2" i="7"/>
  <c r="N227" i="7"/>
  <c r="M227" i="7"/>
  <c r="N226" i="7"/>
  <c r="M226" i="7"/>
  <c r="N225" i="7"/>
  <c r="M225" i="7"/>
  <c r="N224" i="7"/>
  <c r="M224" i="7"/>
  <c r="N223" i="7"/>
  <c r="M223" i="7"/>
  <c r="N222" i="7"/>
  <c r="M222" i="7"/>
  <c r="N221" i="7"/>
  <c r="M221" i="7"/>
  <c r="N220" i="7"/>
  <c r="M220" i="7"/>
  <c r="N219" i="7"/>
  <c r="M219" i="7"/>
  <c r="N218" i="7"/>
  <c r="M218" i="7"/>
  <c r="N216" i="7"/>
  <c r="M216" i="7"/>
  <c r="N215" i="7"/>
  <c r="M215" i="7"/>
  <c r="N214" i="7"/>
  <c r="M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199" i="7"/>
  <c r="M199" i="7"/>
  <c r="N197" i="7"/>
  <c r="N196" i="7"/>
  <c r="M171" i="7"/>
  <c r="N168" i="7"/>
  <c r="M167" i="7"/>
  <c r="M164" i="7"/>
  <c r="N130" i="7"/>
  <c r="M128" i="7"/>
  <c r="N123" i="7"/>
  <c r="M121" i="7"/>
  <c r="N117" i="7"/>
  <c r="N114" i="7"/>
  <c r="N112" i="7"/>
  <c r="M110" i="7"/>
  <c r="N106" i="7"/>
  <c r="M104" i="7"/>
  <c r="N100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69" i="7"/>
  <c r="N133" i="7"/>
  <c r="M131" i="7"/>
  <c r="M127" i="7"/>
  <c r="M124" i="7"/>
  <c r="N120" i="7"/>
  <c r="M118" i="7"/>
  <c r="N113" i="7"/>
  <c r="M111" i="7"/>
  <c r="M108" i="7"/>
  <c r="N104" i="7"/>
  <c r="M102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M130" i="7"/>
  <c r="N126" i="7"/>
  <c r="N124" i="7"/>
  <c r="N121" i="7"/>
  <c r="N119" i="7"/>
  <c r="N116" i="7"/>
  <c r="M113" i="7"/>
  <c r="M109" i="7"/>
  <c r="M105" i="7"/>
  <c r="N101" i="7"/>
  <c r="K5" i="7"/>
  <c r="K6" i="7" s="1"/>
  <c r="M4" i="7"/>
  <c r="M100" i="7"/>
  <c r="N99" i="7"/>
  <c r="M99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M6" i="7"/>
  <c r="M5" i="7"/>
  <c r="M3" i="7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7" i="6"/>
  <c r="M47" i="6"/>
  <c r="N46" i="6"/>
  <c r="M46" i="6"/>
  <c r="N45" i="6"/>
  <c r="M45" i="6"/>
  <c r="N44" i="6"/>
  <c r="M44" i="6"/>
  <c r="N43" i="6"/>
  <c r="M43" i="6"/>
  <c r="L5" i="6"/>
  <c r="L6" i="6" s="1"/>
  <c r="K5" i="6"/>
  <c r="K6" i="6" s="1"/>
  <c r="N4" i="6"/>
  <c r="M4" i="6"/>
  <c r="AJ3" i="6"/>
  <c r="M3" i="6"/>
  <c r="N341" i="7" l="1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8" i="7"/>
  <c r="N9" i="7"/>
  <c r="N8" i="6"/>
  <c r="N9" i="6"/>
  <c r="N158" i="6"/>
  <c r="N168" i="6"/>
  <c r="N153" i="6"/>
  <c r="N159" i="6"/>
  <c r="N163" i="6"/>
  <c r="N164" i="6"/>
  <c r="N165" i="6"/>
  <c r="N166" i="6"/>
  <c r="N155" i="6"/>
  <c r="N161" i="6"/>
  <c r="N167" i="6"/>
  <c r="N156" i="6"/>
  <c r="N157" i="6"/>
  <c r="N162" i="6"/>
  <c r="N154" i="6"/>
  <c r="N160" i="6"/>
  <c r="N6" i="7"/>
  <c r="N5" i="7"/>
  <c r="N6" i="6"/>
  <c r="M6" i="6"/>
  <c r="N5" i="6"/>
  <c r="M5" i="6"/>
</calcChain>
</file>

<file path=xl/sharedStrings.xml><?xml version="1.0" encoding="utf-8"?>
<sst xmlns="http://schemas.openxmlformats.org/spreadsheetml/2006/main" count="6497" uniqueCount="974">
  <si>
    <t xml:space="preserve">Description
Module </t>
  </si>
  <si>
    <t xml:space="preserve">Manufacturer </t>
  </si>
  <si>
    <t>Part No.</t>
  </si>
  <si>
    <t>Cod. Fives</t>
  </si>
  <si>
    <t>Slot</t>
  </si>
  <si>
    <t>ID</t>
  </si>
  <si>
    <t>Bit</t>
  </si>
  <si>
    <t>Normal
condition</t>
  </si>
  <si>
    <t xml:space="preserve">Connector </t>
  </si>
  <si>
    <t xml:space="preserve">Pin
No. </t>
  </si>
  <si>
    <t>Description language 1 
(1° part) (permanent part)</t>
  </si>
  <si>
    <t>Description language 1 
(2° part) (variable part)</t>
  </si>
  <si>
    <t>Description language 2 
(1° part) (permanent part)</t>
  </si>
  <si>
    <t>Description language 2
(2° part) (variable part)</t>
  </si>
  <si>
    <t>Functional 
unit</t>
  </si>
  <si>
    <t>Location</t>
  </si>
  <si>
    <t>Device</t>
  </si>
  <si>
    <t>Type</t>
  </si>
  <si>
    <t>Drawing name</t>
  </si>
  <si>
    <t>Sheet</t>
  </si>
  <si>
    <t>T.S. ref.</t>
  </si>
  <si>
    <t>Profinet IP</t>
  </si>
  <si>
    <t>Profinet name</t>
  </si>
  <si>
    <t>Mnemonic</t>
  </si>
  <si>
    <t>Alarm filter</t>
  </si>
  <si>
    <t>Tag filter</t>
  </si>
  <si>
    <t>Skip Reason</t>
  </si>
  <si>
    <t>Script Type</t>
  </si>
  <si>
    <t>Suggested Type</t>
  </si>
  <si>
    <t>Index</t>
  </si>
  <si>
    <t>Diag Cabinet</t>
  </si>
  <si>
    <t>Diag Bit</t>
  </si>
  <si>
    <t>Hardware Parameters</t>
  </si>
  <si>
    <t>Interface Mapping</t>
  </si>
  <si>
    <t>51</t>
  </si>
  <si>
    <t>Profinet Network</t>
  </si>
  <si>
    <t>8FVX_Q0002</t>
  </si>
  <si>
    <t>192.168.</t>
  </si>
  <si>
    <t>CM 1542-1 Profinet communications module for S7-1500 (Master)</t>
  </si>
  <si>
    <t>SIEMENS</t>
  </si>
  <si>
    <t>6GK7542-1AX00-0XE0</t>
  </si>
  <si>
    <t>-K65501</t>
  </si>
  <si>
    <t>X1-P1 R</t>
  </si>
  <si>
    <t>PROFINET CARD</t>
  </si>
  <si>
    <t>CARD PROFINET</t>
  </si>
  <si>
    <t>=S2</t>
  </si>
  <si>
    <t>+MC2.CC1</t>
  </si>
  <si>
    <t>656</t>
  </si>
  <si>
    <t>TS_006</t>
  </si>
  <si>
    <t>CM 1542-1 Profinet communications module for S7-1500 (Backup)</t>
  </si>
  <si>
    <t>-K65502</t>
  </si>
  <si>
    <t>657</t>
  </si>
  <si>
    <t>-</t>
  </si>
  <si>
    <t>MANAGEABLE IE SWITCH SCALANCE XC208,</t>
  </si>
  <si>
    <t>6GK5208-0BA00-2AC2</t>
  </si>
  <si>
    <t>15C_00061</t>
  </si>
  <si>
    <t>-K66001</t>
  </si>
  <si>
    <t>10</t>
  </si>
  <si>
    <t>PROFINET SWITCH</t>
  </si>
  <si>
    <t>SWITCH PROFINET</t>
  </si>
  <si>
    <t>PW</t>
  </si>
  <si>
    <t>660</t>
  </si>
  <si>
    <t>0002</t>
  </si>
  <si>
    <t>009</t>
  </si>
  <si>
    <t>61</t>
  </si>
  <si>
    <t>DISTRIBUTED CONTROLLER ET200SP IM155-6PN ST</t>
  </si>
  <si>
    <t>6ES7155-6AU01-0BN0</t>
  </si>
  <si>
    <t>14C_00048</t>
  </si>
  <si>
    <t>-K65001</t>
  </si>
  <si>
    <t>5</t>
  </si>
  <si>
    <t>FIELD BUS FAILURE - INPUT / OUTPUT MODULE</t>
  </si>
  <si>
    <t>+MS2.CC1</t>
  </si>
  <si>
    <t>PA</t>
  </si>
  <si>
    <t>8FVX_Q0001</t>
  </si>
  <si>
    <t>651</t>
  </si>
  <si>
    <t>0005</t>
  </si>
  <si>
    <t>005</t>
  </si>
  <si>
    <t>62</t>
  </si>
  <si>
    <t>DIGITAL 16 INPUT MODULE</t>
  </si>
  <si>
    <t>6ES7131-6BH01-0BA0</t>
  </si>
  <si>
    <t>14C_00051</t>
  </si>
  <si>
    <t>-K65010</t>
  </si>
  <si>
    <t>I1000.0</t>
  </si>
  <si>
    <t>1</t>
  </si>
  <si>
    <t>653</t>
  </si>
  <si>
    <t>PotentialGroup=1</t>
  </si>
  <si>
    <t>I1000.1</t>
  </si>
  <si>
    <t>2</t>
  </si>
  <si>
    <t>I1000.2</t>
  </si>
  <si>
    <t>3</t>
  </si>
  <si>
    <t>I1000.3</t>
  </si>
  <si>
    <t>4</t>
  </si>
  <si>
    <t>I1000.4</t>
  </si>
  <si>
    <t>I1000.5</t>
  </si>
  <si>
    <t>6</t>
  </si>
  <si>
    <t>I1000.6</t>
  </si>
  <si>
    <t>7</t>
  </si>
  <si>
    <t>I1000.7</t>
  </si>
  <si>
    <t>8</t>
  </si>
  <si>
    <t>I1001.0</t>
  </si>
  <si>
    <t>9</t>
  </si>
  <si>
    <t>CIRCUIT BREAKER TRIPPED</t>
  </si>
  <si>
    <t>400V INDUCTION LINE GROUP IN1.CC1</t>
  </si>
  <si>
    <t>-F09001</t>
  </si>
  <si>
    <t>A</t>
  </si>
  <si>
    <t>653A</t>
  </si>
  <si>
    <t>TS_011</t>
  </si>
  <si>
    <t>0013</t>
  </si>
  <si>
    <t>00</t>
  </si>
  <si>
    <t>I1001.1</t>
  </si>
  <si>
    <t>400V INDUCTION LINE GROUP IN2.CC1</t>
  </si>
  <si>
    <t>-F09002</t>
  </si>
  <si>
    <t>0014</t>
  </si>
  <si>
    <t>01</t>
  </si>
  <si>
    <t>I1001.2</t>
  </si>
  <si>
    <t>11</t>
  </si>
  <si>
    <t>400V UPSTREAM CABINET UL1.CC1</t>
  </si>
  <si>
    <t>-F09003</t>
  </si>
  <si>
    <t>0015</t>
  </si>
  <si>
    <t>02</t>
  </si>
  <si>
    <t>I1001.3</t>
  </si>
  <si>
    <t>12</t>
  </si>
  <si>
    <t>400V UPSTREAM CABINET UL2.CC1</t>
  </si>
  <si>
    <t>-F09004</t>
  </si>
  <si>
    <t>0016</t>
  </si>
  <si>
    <t>03</t>
  </si>
  <si>
    <t>I1001.4</t>
  </si>
  <si>
    <t>13</t>
  </si>
  <si>
    <t>400V  CHUTE CABINET DL1.CC1</t>
  </si>
  <si>
    <t>-F09005</t>
  </si>
  <si>
    <t>0017</t>
  </si>
  <si>
    <t>04</t>
  </si>
  <si>
    <t>I1001.5</t>
  </si>
  <si>
    <t>14</t>
  </si>
  <si>
    <t>400V  CHUTE CABINET DL2.CC1</t>
  </si>
  <si>
    <t>-F09101</t>
  </si>
  <si>
    <t>0018</t>
  </si>
  <si>
    <t>05</t>
  </si>
  <si>
    <t>I1001.6</t>
  </si>
  <si>
    <t>15</t>
  </si>
  <si>
    <t>-F09102</t>
  </si>
  <si>
    <t>0019</t>
  </si>
  <si>
    <t>06</t>
  </si>
  <si>
    <t>I1001.7</t>
  </si>
  <si>
    <t>16</t>
  </si>
  <si>
    <t>-K65012</t>
  </si>
  <si>
    <t>I1004.0</t>
  </si>
  <si>
    <t>POWER INFEED 400V SAFETY IN1.CC1</t>
  </si>
  <si>
    <t>+IN3.CC1</t>
  </si>
  <si>
    <t>-F30001</t>
  </si>
  <si>
    <t>W</t>
  </si>
  <si>
    <t>8EED_S2001_06</t>
  </si>
  <si>
    <t>800</t>
  </si>
  <si>
    <t>0006</t>
  </si>
  <si>
    <t>006</t>
  </si>
  <si>
    <t>I1004.1</t>
  </si>
  <si>
    <t>POWER SUPPLY UNIT FAILURE</t>
  </si>
  <si>
    <t>IN1.CC1</t>
  </si>
  <si>
    <t>-T30001</t>
  </si>
  <si>
    <t>TS_012</t>
  </si>
  <si>
    <t>0007</t>
  </si>
  <si>
    <t>I1004.2</t>
  </si>
  <si>
    <t>POWER SUPPLY 24V SAFETY AND I/O  IN1.CC1</t>
  </si>
  <si>
    <t>-F30102</t>
  </si>
  <si>
    <t>0008</t>
  </si>
  <si>
    <t>I1004.3</t>
  </si>
  <si>
    <t>POWER SUPPLY 24V SWITCH IN1.CC1</t>
  </si>
  <si>
    <t>-F30101</t>
  </si>
  <si>
    <t>0009</t>
  </si>
  <si>
    <t>I1004.4</t>
  </si>
  <si>
    <t>PROFINET SWITCH FAULT</t>
  </si>
  <si>
    <t>-K60001</t>
  </si>
  <si>
    <t>600</t>
  </si>
  <si>
    <t>0010</t>
  </si>
  <si>
    <t>I1004.5</t>
  </si>
  <si>
    <t>655</t>
  </si>
  <si>
    <t>I1004.6</t>
  </si>
  <si>
    <t>I1004.7</t>
  </si>
  <si>
    <t>I1005.0</t>
  </si>
  <si>
    <t>POWER INFEED 400V SAFETY IN2.CC1</t>
  </si>
  <si>
    <t>+IN4.CC1</t>
  </si>
  <si>
    <t>0020</t>
  </si>
  <si>
    <t>007</t>
  </si>
  <si>
    <t>I1005.1</t>
  </si>
  <si>
    <t>IN2.CC1</t>
  </si>
  <si>
    <t>0021</t>
  </si>
  <si>
    <t>I1005.2</t>
  </si>
  <si>
    <t>POWER SUPPLY 24V SAFETY AND I/O  IN2.CC1</t>
  </si>
  <si>
    <t>0022</t>
  </si>
  <si>
    <t>I1005.3</t>
  </si>
  <si>
    <t>POWER SUPPLY 24V SWITCH IN2.CC1</t>
  </si>
  <si>
    <t>0023</t>
  </si>
  <si>
    <t>I1005.4</t>
  </si>
  <si>
    <t>0024</t>
  </si>
  <si>
    <t>I1005.5</t>
  </si>
  <si>
    <t>655A</t>
  </si>
  <si>
    <t>I1005.6</t>
  </si>
  <si>
    <t>I1005.7</t>
  </si>
  <si>
    <t>DIGITAL 16 OUTPUT MODULE</t>
  </si>
  <si>
    <t>6ES7132-6BH01-0BA0</t>
  </si>
  <si>
    <t>14C_00058</t>
  </si>
  <si>
    <t>-K65030</t>
  </si>
  <si>
    <t>Q1000.0</t>
  </si>
  <si>
    <t>EMERGENCY AREA 4</t>
  </si>
  <si>
    <t>-Q66501</t>
  </si>
  <si>
    <t>665</t>
  </si>
  <si>
    <t>Z4</t>
  </si>
  <si>
    <t>0001</t>
  </si>
  <si>
    <t>015</t>
  </si>
  <si>
    <t>Q1000.1</t>
  </si>
  <si>
    <t>Q1000.2</t>
  </si>
  <si>
    <t>Q1000.3</t>
  </si>
  <si>
    <t>Q1000.4</t>
  </si>
  <si>
    <t>Q1000.5</t>
  </si>
  <si>
    <t>Q1000.6</t>
  </si>
  <si>
    <t>Q1000.7</t>
  </si>
  <si>
    <t>Q1001.0</t>
  </si>
  <si>
    <t>665A</t>
  </si>
  <si>
    <t>Q1001.1</t>
  </si>
  <si>
    <t>Q1001.2</t>
  </si>
  <si>
    <t>Q1001.3</t>
  </si>
  <si>
    <t>Q1001.4</t>
  </si>
  <si>
    <t>Q1001.5</t>
  </si>
  <si>
    <t>Q1001.6</t>
  </si>
  <si>
    <t>Q1001.7</t>
  </si>
  <si>
    <t>DIGITAL 8 SAFETY INPUT MODULE</t>
  </si>
  <si>
    <t>6ES7136-6BA00-0CA0</t>
  </si>
  <si>
    <t>14C_00052</t>
  </si>
  <si>
    <t>-K65050</t>
  </si>
  <si>
    <t>I1020.0</t>
  </si>
  <si>
    <t>1/9</t>
  </si>
  <si>
    <t>EMERGENCY PUSH BUTTON PRESSED</t>
  </si>
  <si>
    <t>CH1 + MS1</t>
  </si>
  <si>
    <t>-S67001</t>
  </si>
  <si>
    <t>670</t>
  </si>
  <si>
    <t>TS_002</t>
  </si>
  <si>
    <t>E1/2</t>
  </si>
  <si>
    <t>0003</t>
  </si>
  <si>
    <t>014</t>
  </si>
  <si>
    <t>I1020.1</t>
  </si>
  <si>
    <t>2/10</t>
  </si>
  <si>
    <t>SWITCH DISCONNECTOR IS OPEN</t>
  </si>
  <si>
    <t>CH1</t>
  </si>
  <si>
    <t>-Q67001</t>
  </si>
  <si>
    <t>TS_008</t>
  </si>
  <si>
    <t>B1/2</t>
  </si>
  <si>
    <t>012</t>
  </si>
  <si>
    <t>I1020.2</t>
  </si>
  <si>
    <t>0</t>
  </si>
  <si>
    <t>3/11</t>
  </si>
  <si>
    <t xml:space="preserve">EMERGENCY RESET </t>
  </si>
  <si>
    <t>-S67002</t>
  </si>
  <si>
    <t>TS_001</t>
  </si>
  <si>
    <t>R*</t>
  </si>
  <si>
    <t>I1020.3</t>
  </si>
  <si>
    <t>4/12</t>
  </si>
  <si>
    <t>FIRE ALARM</t>
  </si>
  <si>
    <t>-X40001</t>
  </si>
  <si>
    <t>F1/2</t>
  </si>
  <si>
    <t>013</t>
  </si>
  <si>
    <t>I1020.4</t>
  </si>
  <si>
    <t>5/13</t>
  </si>
  <si>
    <t>CH2 + MS1</t>
  </si>
  <si>
    <t>E2/2</t>
  </si>
  <si>
    <t>I1020.5</t>
  </si>
  <si>
    <t>6/14</t>
  </si>
  <si>
    <t>CH2</t>
  </si>
  <si>
    <t>B2/2</t>
  </si>
  <si>
    <t>I1020.6</t>
  </si>
  <si>
    <t>7/15</t>
  </si>
  <si>
    <t>AREA 2</t>
  </si>
  <si>
    <t>-S67008</t>
  </si>
  <si>
    <t>R2</t>
  </si>
  <si>
    <t>0004</t>
  </si>
  <si>
    <t>I1020.7</t>
  </si>
  <si>
    <t>8/16</t>
  </si>
  <si>
    <t>F2/2</t>
  </si>
  <si>
    <t>+PC2.CC1</t>
  </si>
  <si>
    <t>8FVX_P1003</t>
  </si>
  <si>
    <t>008</t>
  </si>
  <si>
    <t>I1100.0</t>
  </si>
  <si>
    <t xml:space="preserve">FEEDBACK OF SAFETY RELAY FAULT </t>
  </si>
  <si>
    <t>-Q80001</t>
  </si>
  <si>
    <t>TS_003</t>
  </si>
  <si>
    <t>KI1/4</t>
  </si>
  <si>
    <t>KI</t>
  </si>
  <si>
    <t>I1100.1</t>
  </si>
  <si>
    <t>-Q80002</t>
  </si>
  <si>
    <t>KI2/4</t>
  </si>
  <si>
    <t>I1100.2</t>
  </si>
  <si>
    <t>-Q80003</t>
  </si>
  <si>
    <t>KI3/4</t>
  </si>
  <si>
    <t>I1100.3</t>
  </si>
  <si>
    <t>-Q80004</t>
  </si>
  <si>
    <t>KI4/4</t>
  </si>
  <si>
    <t>I1100.4</t>
  </si>
  <si>
    <t>I1100.5</t>
  </si>
  <si>
    <t>I1100.6</t>
  </si>
  <si>
    <t>I1100.7</t>
  </si>
  <si>
    <t>I1101.0</t>
  </si>
  <si>
    <t>DRIVE UNIT 1-2-3-10</t>
  </si>
  <si>
    <t>-Q66401..2</t>
  </si>
  <si>
    <t>I1101.1</t>
  </si>
  <si>
    <t xml:space="preserve">70V CUT-OFF MAINTENANCE AREA </t>
  </si>
  <si>
    <t>-X80201</t>
  </si>
  <si>
    <t>802</t>
  </si>
  <si>
    <t>I1101.2</t>
  </si>
  <si>
    <t>I1101.3</t>
  </si>
  <si>
    <t>I1101.4</t>
  </si>
  <si>
    <t>I1101.5</t>
  </si>
  <si>
    <t>I1101.6</t>
  </si>
  <si>
    <t>SAFETY ENCODER FAILURE</t>
  </si>
  <si>
    <t>PHOTOCELL 1</t>
  </si>
  <si>
    <t>-X81001</t>
  </si>
  <si>
    <t>810</t>
  </si>
  <si>
    <t>N1/2</t>
  </si>
  <si>
    <t>011</t>
  </si>
  <si>
    <t>I1101.7</t>
  </si>
  <si>
    <t>PHOTOCELL 2</t>
  </si>
  <si>
    <t>N2/2</t>
  </si>
  <si>
    <t>Q1100.0</t>
  </si>
  <si>
    <t xml:space="preserve">PRIMARY DOOR OPEN RESET REQUEST LAMP </t>
  </si>
  <si>
    <t>-X81401</t>
  </si>
  <si>
    <t>814</t>
  </si>
  <si>
    <t>DL</t>
  </si>
  <si>
    <t>Q1100.1</t>
  </si>
  <si>
    <t xml:space="preserve">SECONDARY DOOR OPEN RESET REQUEST LAMP </t>
  </si>
  <si>
    <t>-X81402</t>
  </si>
  <si>
    <t>Q1100.2</t>
  </si>
  <si>
    <t>Q1100.3</t>
  </si>
  <si>
    <t>Q1100.4</t>
  </si>
  <si>
    <t>Q1100.5</t>
  </si>
  <si>
    <t>Q1100.6</t>
  </si>
  <si>
    <t>Q1100.7</t>
  </si>
  <si>
    <t>Q1101.0</t>
  </si>
  <si>
    <t>Q1101.1</t>
  </si>
  <si>
    <t>Q1101.2</t>
  </si>
  <si>
    <t>Q1101.3</t>
  </si>
  <si>
    <t>Q1101.4</t>
  </si>
  <si>
    <t>Q1101.5</t>
  </si>
  <si>
    <t>Q1101.6</t>
  </si>
  <si>
    <t>Q1101.7</t>
  </si>
  <si>
    <t>-K65054</t>
  </si>
  <si>
    <t>I1110.0</t>
  </si>
  <si>
    <t>MAINTENANCE CONSOLE CH1</t>
  </si>
  <si>
    <t>-X80101</t>
  </si>
  <si>
    <t>801</t>
  </si>
  <si>
    <t>I1110.1</t>
  </si>
  <si>
    <t>CH1 +ES0001</t>
  </si>
  <si>
    <t>+ES0028</t>
  </si>
  <si>
    <t>-S1</t>
  </si>
  <si>
    <t>8FVX_W0001</t>
  </si>
  <si>
    <t>+SM72&amp;EFS/2</t>
  </si>
  <si>
    <t>I1110.2</t>
  </si>
  <si>
    <t>661</t>
  </si>
  <si>
    <t>I1110.3</t>
  </si>
  <si>
    <t>I1110.4</t>
  </si>
  <si>
    <t>MAINTENANCE CONSOLE CH2</t>
  </si>
  <si>
    <t>813</t>
  </si>
  <si>
    <t>I1110.5</t>
  </si>
  <si>
    <t>CH2 +ES0001</t>
  </si>
  <si>
    <t>I1110.6</t>
  </si>
  <si>
    <t>I1110.7</t>
  </si>
  <si>
    <t>-K65055</t>
  </si>
  <si>
    <t>I1120.0</t>
  </si>
  <si>
    <t>SAFETY DOOR OPEN</t>
  </si>
  <si>
    <t>+SG3</t>
  </si>
  <si>
    <t>-B1</t>
  </si>
  <si>
    <t>815</t>
  </si>
  <si>
    <t>DI1/2</t>
  </si>
  <si>
    <t>010</t>
  </si>
  <si>
    <t>I1120.1</t>
  </si>
  <si>
    <t>DD</t>
  </si>
  <si>
    <t>I1120.2</t>
  </si>
  <si>
    <t>+SG4</t>
  </si>
  <si>
    <t>07</t>
  </si>
  <si>
    <t>I1120.3</t>
  </si>
  <si>
    <t>08</t>
  </si>
  <si>
    <t>I1120.4</t>
  </si>
  <si>
    <t>DI2/2</t>
  </si>
  <si>
    <t>I1120.5</t>
  </si>
  <si>
    <t>PRIMARY DOOR OPEN RESET</t>
  </si>
  <si>
    <t>DR</t>
  </si>
  <si>
    <t>I1120.6</t>
  </si>
  <si>
    <t>I1120.7</t>
  </si>
  <si>
    <t>SECONDARY DOOR OPEN RESET</t>
  </si>
  <si>
    <t>DIGITAL 4 SAFETY OUTPUT MODULE</t>
  </si>
  <si>
    <t>6ES7136-6DB00-0CA0</t>
  </si>
  <si>
    <t>14C_00053</t>
  </si>
  <si>
    <t>-K65060</t>
  </si>
  <si>
    <t>Q1130.0</t>
  </si>
  <si>
    <t>SAFETY RELAY - ENABLE DRIVE UNIT</t>
  </si>
  <si>
    <t>664</t>
  </si>
  <si>
    <t>KQ</t>
  </si>
  <si>
    <t>Q1130.1</t>
  </si>
  <si>
    <t>SAFETY RELAY</t>
  </si>
  <si>
    <t>70V CUT-OFF MAINTENANCE AREA</t>
  </si>
  <si>
    <t>Q1130.2</t>
  </si>
  <si>
    <t xml:space="preserve">SAFETY RELAY </t>
  </si>
  <si>
    <t>-Q66403</t>
  </si>
  <si>
    <t>DQ</t>
  </si>
  <si>
    <t>Q1130.3</t>
  </si>
  <si>
    <t>-Q66404</t>
  </si>
  <si>
    <t>Q1140.0</t>
  </si>
  <si>
    <t>1Q 4I</t>
  </si>
  <si>
    <t>Q1140.1</t>
  </si>
  <si>
    <t>Q1140.2</t>
  </si>
  <si>
    <t>Q1140.3</t>
  </si>
  <si>
    <t>DISTRIBUTED CONTROLLER  0980 SSL 3030-121-007D-101</t>
  </si>
  <si>
    <t>LUMBERG</t>
  </si>
  <si>
    <t>LU935023006</t>
  </si>
  <si>
    <t>13C_00272</t>
  </si>
  <si>
    <t>-XNS1</t>
  </si>
  <si>
    <t>31</t>
  </si>
  <si>
    <t>X01</t>
  </si>
  <si>
    <t>+SM73</t>
  </si>
  <si>
    <t>+SM72&amp;EFS/1</t>
  </si>
  <si>
    <t>60</t>
  </si>
  <si>
    <t>DIGITAL 16/8 SAFETY INPUT MODULE</t>
  </si>
  <si>
    <t>I1920.0</t>
  </si>
  <si>
    <t>X1</t>
  </si>
  <si>
    <t>4/1</t>
  </si>
  <si>
    <t>I1920.4</t>
  </si>
  <si>
    <t>2/5</t>
  </si>
  <si>
    <t>I1920.1</t>
  </si>
  <si>
    <t>X2</t>
  </si>
  <si>
    <t>I1920.5</t>
  </si>
  <si>
    <t>I1920.2</t>
  </si>
  <si>
    <t>X3</t>
  </si>
  <si>
    <t>I1920.6</t>
  </si>
  <si>
    <t>I1920.3</t>
  </si>
  <si>
    <t>X4</t>
  </si>
  <si>
    <t>I1920.7</t>
  </si>
  <si>
    <t>I1921.0</t>
  </si>
  <si>
    <t>X5</t>
  </si>
  <si>
    <t>I1921.4</t>
  </si>
  <si>
    <t>I1921.1</t>
  </si>
  <si>
    <t>X6</t>
  </si>
  <si>
    <t>I1921.5</t>
  </si>
  <si>
    <t>I1921.2</t>
  </si>
  <si>
    <t>X7</t>
  </si>
  <si>
    <t>I1921.6</t>
  </si>
  <si>
    <t>I1921.3</t>
  </si>
  <si>
    <t>X8</t>
  </si>
  <si>
    <t>I1921.7</t>
  </si>
  <si>
    <t>8XXX_Ioyyyy</t>
  </si>
  <si>
    <t>EMERGENCY I/O LIST</t>
  </si>
  <si>
    <t>Version</t>
  </si>
  <si>
    <t>Date</t>
  </si>
  <si>
    <t>Description</t>
  </si>
  <si>
    <t>Author</t>
  </si>
  <si>
    <t>0.0</t>
  </si>
  <si>
    <t>14/06/2026</t>
  </si>
  <si>
    <t>First Release of validation template</t>
  </si>
  <si>
    <t>B.Dragoi</t>
  </si>
  <si>
    <t>50</t>
  </si>
  <si>
    <t>SIMATIC S7-1500 CPU 1518F-4PN/DP (Master)</t>
  </si>
  <si>
    <t>6ES7518-4FP00-0AB0</t>
  </si>
  <si>
    <t>14C_00109</t>
  </si>
  <si>
    <t>=S1</t>
  </si>
  <si>
    <t>+MC1.CC1</t>
  </si>
  <si>
    <t>PLC</t>
  </si>
  <si>
    <t>SIMATIC S7-1500 CPU 1518F-4PN/DP (Backup)</t>
  </si>
  <si>
    <t>000</t>
  </si>
  <si>
    <t xml:space="preserve">PN/PN COUPLER </t>
  </si>
  <si>
    <t>6ES7158-3AD10-0XA0</t>
  </si>
  <si>
    <t>13C_00119</t>
  </si>
  <si>
    <t>-K66201</t>
  </si>
  <si>
    <t>FIELD BUS FAILURE - COUPLER</t>
  </si>
  <si>
    <t>662</t>
  </si>
  <si>
    <t>10000</t>
  </si>
  <si>
    <t>IO COUPLER - SORTER INTERFACE</t>
  </si>
  <si>
    <t>IOC</t>
  </si>
  <si>
    <t>SORTER-01</t>
  </si>
  <si>
    <t>20000</t>
  </si>
  <si>
    <t>SORTER+DIAG-02</t>
  </si>
  <si>
    <t>+MS1.CC1</t>
  </si>
  <si>
    <t>001</t>
  </si>
  <si>
    <t>I0.0</t>
  </si>
  <si>
    <t>I0.1</t>
  </si>
  <si>
    <t>I0.2</t>
  </si>
  <si>
    <t>I0.3</t>
  </si>
  <si>
    <t>I0.4</t>
  </si>
  <si>
    <t>I0.5</t>
  </si>
  <si>
    <t>I0.6</t>
  </si>
  <si>
    <t>I0.7</t>
  </si>
  <si>
    <t>I1.0</t>
  </si>
  <si>
    <t>I1.1</t>
  </si>
  <si>
    <t>I1.2</t>
  </si>
  <si>
    <t>I1.3</t>
  </si>
  <si>
    <t>I1.4</t>
  </si>
  <si>
    <t>I1.5</t>
  </si>
  <si>
    <t>I1.6</t>
  </si>
  <si>
    <t>I1.7</t>
  </si>
  <si>
    <t>I4.0</t>
  </si>
  <si>
    <t>+IN1.CC1</t>
  </si>
  <si>
    <t>002</t>
  </si>
  <si>
    <t>I4.1</t>
  </si>
  <si>
    <t>I4.2</t>
  </si>
  <si>
    <t>I4.3</t>
  </si>
  <si>
    <t>I4.4</t>
  </si>
  <si>
    <t>I4.5</t>
  </si>
  <si>
    <t>I4.6</t>
  </si>
  <si>
    <t>I4.7</t>
  </si>
  <si>
    <t>I5.0</t>
  </si>
  <si>
    <t>+IN2.CC1</t>
  </si>
  <si>
    <t>003</t>
  </si>
  <si>
    <t>I5.1</t>
  </si>
  <si>
    <t>I5.2</t>
  </si>
  <si>
    <t>I5.3</t>
  </si>
  <si>
    <t>0011</t>
  </si>
  <si>
    <t>I5.4</t>
  </si>
  <si>
    <t>0012</t>
  </si>
  <si>
    <t>I5.5</t>
  </si>
  <si>
    <t>I5.6</t>
  </si>
  <si>
    <t>I5.7</t>
  </si>
  <si>
    <t>Q0.0</t>
  </si>
  <si>
    <t>EMERGENCY AREA 1</t>
  </si>
  <si>
    <t>Z1</t>
  </si>
  <si>
    <t>01|02</t>
  </si>
  <si>
    <t>Q0.1</t>
  </si>
  <si>
    <t>EMERGENCY AREA 2</t>
  </si>
  <si>
    <t>-Q66502</t>
  </si>
  <si>
    <t>Z2</t>
  </si>
  <si>
    <t>Q0.2</t>
  </si>
  <si>
    <t>EMERGENCY AREA 3</t>
  </si>
  <si>
    <t>-Q66503</t>
  </si>
  <si>
    <t>Z3</t>
  </si>
  <si>
    <t>Q0.3</t>
  </si>
  <si>
    <t>Q0.4</t>
  </si>
  <si>
    <t>Q0.5</t>
  </si>
  <si>
    <t>Q0.6</t>
  </si>
  <si>
    <t>Q0.7</t>
  </si>
  <si>
    <t>Q1.0</t>
  </si>
  <si>
    <t>Q1.1</t>
  </si>
  <si>
    <t>Q1.2</t>
  </si>
  <si>
    <t>Q1.3</t>
  </si>
  <si>
    <t>Q1.4</t>
  </si>
  <si>
    <t>Q1.5</t>
  </si>
  <si>
    <t>Q1.6</t>
  </si>
  <si>
    <t>Q1.7</t>
  </si>
  <si>
    <t>I20.0</t>
  </si>
  <si>
    <t>I20.1</t>
  </si>
  <si>
    <t>I20.2</t>
  </si>
  <si>
    <t>I20.3</t>
  </si>
  <si>
    <t>I20.4</t>
  </si>
  <si>
    <t>I20.5</t>
  </si>
  <si>
    <t>I20.6</t>
  </si>
  <si>
    <t>I20.7</t>
  </si>
  <si>
    <t>+PC1.CC1</t>
  </si>
  <si>
    <t>004</t>
  </si>
  <si>
    <t>I100.0</t>
  </si>
  <si>
    <t>I100.1</t>
  </si>
  <si>
    <t>I100.2</t>
  </si>
  <si>
    <t>I100.3</t>
  </si>
  <si>
    <t>I100.4</t>
  </si>
  <si>
    <t>I100.5</t>
  </si>
  <si>
    <t>I100.6</t>
  </si>
  <si>
    <t>I100.7</t>
  </si>
  <si>
    <t>I101.0</t>
  </si>
  <si>
    <t>I101.1</t>
  </si>
  <si>
    <t>I101.2</t>
  </si>
  <si>
    <t>I101.3</t>
  </si>
  <si>
    <t>I101.4</t>
  </si>
  <si>
    <t>I101.5</t>
  </si>
  <si>
    <t>I101.6</t>
  </si>
  <si>
    <t>I101.7</t>
  </si>
  <si>
    <t>Q100.0</t>
  </si>
  <si>
    <t>Q100.1</t>
  </si>
  <si>
    <t>Q100.2</t>
  </si>
  <si>
    <t>Q100.3</t>
  </si>
  <si>
    <t>Q100.4</t>
  </si>
  <si>
    <t>Q100.5</t>
  </si>
  <si>
    <t>Q100.6</t>
  </si>
  <si>
    <t>Q100.7</t>
  </si>
  <si>
    <t>Q101.0</t>
  </si>
  <si>
    <t>Q101.1</t>
  </si>
  <si>
    <t>Q101.2</t>
  </si>
  <si>
    <t>Q101.3</t>
  </si>
  <si>
    <t>Q101.4</t>
  </si>
  <si>
    <t>Q101.5</t>
  </si>
  <si>
    <t>Q101.6</t>
  </si>
  <si>
    <t>Q101.7</t>
  </si>
  <si>
    <t>I110.0</t>
  </si>
  <si>
    <t>I110.1</t>
  </si>
  <si>
    <t>+ES0027</t>
  </si>
  <si>
    <t>I110.2</t>
  </si>
  <si>
    <t>I110.3</t>
  </si>
  <si>
    <t>I110.4</t>
  </si>
  <si>
    <t>I110.5</t>
  </si>
  <si>
    <t>I110.6</t>
  </si>
  <si>
    <t>I110.7</t>
  </si>
  <si>
    <t>I120.0</t>
  </si>
  <si>
    <t>+SG1</t>
  </si>
  <si>
    <t>I120.1</t>
  </si>
  <si>
    <t>I120.2</t>
  </si>
  <si>
    <t>+SG2</t>
  </si>
  <si>
    <t>I120.3</t>
  </si>
  <si>
    <t>I120.4</t>
  </si>
  <si>
    <t>I120.5</t>
  </si>
  <si>
    <t>I120.6</t>
  </si>
  <si>
    <t>I120.7</t>
  </si>
  <si>
    <t>Q130.0</t>
  </si>
  <si>
    <t>Q130.1</t>
  </si>
  <si>
    <t>Q130.2</t>
  </si>
  <si>
    <t>Q130.3</t>
  </si>
  <si>
    <t>Q140.0</t>
  </si>
  <si>
    <t>Q140.1</t>
  </si>
  <si>
    <t>Q140.2</t>
  </si>
  <si>
    <t>Q140.3</t>
  </si>
  <si>
    <t>+SM72</t>
  </si>
  <si>
    <t>I920.0</t>
  </si>
  <si>
    <t>I920.4</t>
  </si>
  <si>
    <t>I920.1</t>
  </si>
  <si>
    <t>I920.5</t>
  </si>
  <si>
    <t>I920.2</t>
  </si>
  <si>
    <t>I920.6</t>
  </si>
  <si>
    <t>I920.3</t>
  </si>
  <si>
    <t>I920.7</t>
  </si>
  <si>
    <t>I921.0</t>
  </si>
  <si>
    <t>I921.4</t>
  </si>
  <si>
    <t>I921.1</t>
  </si>
  <si>
    <t>I921.5</t>
  </si>
  <si>
    <t>I921.2</t>
  </si>
  <si>
    <t>I921.6</t>
  </si>
  <si>
    <t>I921.3</t>
  </si>
  <si>
    <t>I921.7</t>
  </si>
  <si>
    <t>ID_Local</t>
  </si>
  <si>
    <t>ID_SWP</t>
  </si>
  <si>
    <t>Functional Unit</t>
  </si>
  <si>
    <t>FullName</t>
  </si>
  <si>
    <t>TemplateType</t>
  </si>
  <si>
    <t>Notes</t>
  </si>
  <si>
    <t>Count</t>
  </si>
  <si>
    <t>=S1+MC1.CC1</t>
  </si>
  <si>
    <t>=S1+MS1.CC1</t>
  </si>
  <si>
    <t>=S1+IN1.CC1</t>
  </si>
  <si>
    <t>=S1+IN2.CC1</t>
  </si>
  <si>
    <t>=S1+PC1.CC1</t>
  </si>
  <si>
    <t>=S2+MS2.CC1</t>
  </si>
  <si>
    <t>=S2+IN3.CC1</t>
  </si>
  <si>
    <t>=S2+IN4.CC1</t>
  </si>
  <si>
    <t>=S2+PC2.CC1</t>
  </si>
  <si>
    <t>+FieldIODevices_1</t>
  </si>
  <si>
    <t>=S1+FieldIODevices_1</t>
  </si>
  <si>
    <t>+SafetyDoors_1</t>
  </si>
  <si>
    <t>=S1+SafetyDoors_1</t>
  </si>
  <si>
    <t>+SafetyEncoders_1</t>
  </si>
  <si>
    <t>=S1+SafetyEncoders_1</t>
  </si>
  <si>
    <t>+SafetyBreakers_1</t>
  </si>
  <si>
    <t>=S1+SafetyBreakers_1</t>
  </si>
  <si>
    <t>+FireAlarm_1</t>
  </si>
  <si>
    <t>=S1+FireAlarm_1</t>
  </si>
  <si>
    <t>+EmergencyPushButtons_1</t>
  </si>
  <si>
    <t>=S1+EmergencyPushButtons_1</t>
  </si>
  <si>
    <t>+EmergencyAreas_1</t>
  </si>
  <si>
    <t>=S1+EmergencyAreas_1</t>
  </si>
  <si>
    <t>Source</t>
  </si>
  <si>
    <t>Device (FLD)</t>
  </si>
  <si>
    <t>Reason</t>
  </si>
  <si>
    <t>NET SAFETY 50 - Row 67 - KI</t>
  </si>
  <si>
    <t>=S1+PC1.CC1-Q80002</t>
  </si>
  <si>
    <t>FEEDBACK OF SAFETY RELAY FAULT</t>
  </si>
  <si>
    <t>Contactor feedback (KI) has no matching output (KQ) by FLD / not contiguous.</t>
  </si>
  <si>
    <t>NET SAFETY 50 - Row 68 - KI</t>
  </si>
  <si>
    <t>=S1+PC1.CC1-Q80003</t>
  </si>
  <si>
    <t>NET SAFETY 50 - Row 69 - KI</t>
  </si>
  <si>
    <t>=S1+PC1.CC1-Q80004</t>
  </si>
  <si>
    <t>NET SAFETY 50 - Row 82 - DL</t>
  </si>
  <si>
    <t>=S1+PC1.CC1-X81401</t>
  </si>
  <si>
    <t>PRIMARY DOOR OPEN RESET REQUEST LAMP</t>
  </si>
  <si>
    <t>Door relay/lamp/unlock - index cannot be auto-linked.</t>
  </si>
  <si>
    <t>NET SAFETY 50 - Row 83 - DL</t>
  </si>
  <si>
    <t>=S1+PC1.CC1-X81402</t>
  </si>
  <si>
    <t>SECONDARY DOOR OPEN RESET REQUEST LAMP</t>
  </si>
  <si>
    <t>NET SAFETY 50 - Row 111 - DR</t>
  </si>
  <si>
    <t>NET SAFETY 50 - Row 113 - DR</t>
  </si>
  <si>
    <t>NET SAFETY 50 - Row 116 - DQ</t>
  </si>
  <si>
    <t>=S1+PC1.CC1-Q66403</t>
  </si>
  <si>
    <t>SAFETY DOOR OPEN SAFETY RELAY</t>
  </si>
  <si>
    <t>NET SAFETY 50 - Row 117 - DQ</t>
  </si>
  <si>
    <t>=S1+PC1.CC1-Q66404</t>
  </si>
  <si>
    <t>NET SAFETY 51 - Row 65 - KI</t>
  </si>
  <si>
    <t>=S2+PC2.CC1-Q80002</t>
  </si>
  <si>
    <t>NET SAFETY 51 - Row 66 - KI</t>
  </si>
  <si>
    <t>=S2+PC2.CC1-Q80003</t>
  </si>
  <si>
    <t>NET SAFETY 51 - Row 67 - KI</t>
  </si>
  <si>
    <t>=S2+PC2.CC1-Q80004</t>
  </si>
  <si>
    <t>NET SAFETY 51 - Row 80 - DL</t>
  </si>
  <si>
    <t>=S2+PC2.CC1-X81401</t>
  </si>
  <si>
    <t>NET SAFETY 51 - Row 81 - DL</t>
  </si>
  <si>
    <t>=S2+PC2.CC1-X81402</t>
  </si>
  <si>
    <t>NET SAFETY 51 - Row 109 - DR</t>
  </si>
  <si>
    <t>NET SAFETY 51 - Row 111 - DR</t>
  </si>
  <si>
    <t>NET SAFETY 51 - Row 114 - DQ</t>
  </si>
  <si>
    <t>=S2+PC2.CC1-Q66403</t>
  </si>
  <si>
    <t>NET SAFETY 51 - Row 115 - DQ</t>
  </si>
  <si>
    <t>=S2+PC2.CC1-Q66404</t>
  </si>
  <si>
    <t>Category</t>
  </si>
  <si>
    <t>diag_cabinet</t>
  </si>
  <si>
    <t>swp_cabinet</t>
  </si>
  <si>
    <t>diag_bit</t>
  </si>
  <si>
    <t>Data Type</t>
  </si>
  <si>
    <t>Direction &lt;/&gt;</t>
  </si>
  <si>
    <t>I/O Offset Byte</t>
  </si>
  <si>
    <t>I/O Bit</t>
  </si>
  <si>
    <t>I/O Address Side 1</t>
  </si>
  <si>
    <t>I/O Address Side 2</t>
  </si>
  <si>
    <t>Signal Name Side 1</t>
  </si>
  <si>
    <t>Expression Side 1</t>
  </si>
  <si>
    <t>Signal Name Side 3</t>
  </si>
  <si>
    <t>Side</t>
  </si>
  <si>
    <t>Base Node</t>
  </si>
  <si>
    <t>Base Address</t>
  </si>
  <si>
    <t>Input Format</t>
  </si>
  <si>
    <t>Output Format</t>
  </si>
  <si>
    <t>WATCHDOG</t>
  </si>
  <si>
    <t>Blinking 1Hz</t>
  </si>
  <si>
    <t>BOOL</t>
  </si>
  <si>
    <t>&gt;</t>
  </si>
  <si>
    <t>PNC_Q_SORTER-01 HEARTBEAT</t>
  </si>
  <si>
    <t>"Clock 1Hz"</t>
  </si>
  <si>
    <t>I&lt;base+offset&gt;/.&lt;bit&gt;</t>
  </si>
  <si>
    <t>SAFETY_STATE</t>
  </si>
  <si>
    <t>Safety Circuit Energized  by PLC (READY)</t>
  </si>
  <si>
    <t>PNC_Q_SORTER-01 POWER ENABLED - NOT CUT</t>
  </si>
  <si>
    <t>Awaiting EMERGENCY RESET for the area</t>
  </si>
  <si>
    <t>PNC_Q_SORTER-01 EMERGENCY READY TO RESET</t>
  </si>
  <si>
    <t>EMERGENCY Circuit Energized by PLC (READY)</t>
  </si>
  <si>
    <t>PNC_Q_SORTER-01 EMERGENCY OK</t>
  </si>
  <si>
    <t>AREA</t>
  </si>
  <si>
    <t>DOORS</t>
  </si>
  <si>
    <t>BREAKERS</t>
  </si>
  <si>
    <t>ENCODER</t>
  </si>
  <si>
    <t>Column1</t>
  </si>
  <si>
    <t>Column2</t>
  </si>
  <si>
    <t>SAFETY_ENCODER</t>
  </si>
  <si>
    <t>PNC_Q_SORTER-01 SAFETY ENCODER FAILURE</t>
  </si>
  <si>
    <t>SORTER_STATE</t>
  </si>
  <si>
    <t>Sorter Running Soft-Feedback</t>
  </si>
  <si>
    <t>&lt;</t>
  </si>
  <si>
    <t>PNC_I_SORTER-01 SORTER- RUNNING</t>
  </si>
  <si>
    <t>SORTER_COMMANDS</t>
  </si>
  <si>
    <t>Commissioning-Only EMERGENCY_RESET command</t>
  </si>
  <si>
    <t>PNC_I_SORTER-01 EMERGENCY RESET</t>
  </si>
  <si>
    <t>Emergency Status Feedback Area  [ =S1+MS1.CC1-Q66501 ]</t>
  </si>
  <si>
    <t>PNC_Q_SORTER-01_Emergency Status Feedback Area  [ =S1+MS1.CC1-Q66501 ]</t>
  </si>
  <si>
    <t>"Emergency Status Feedback Area  [ =S1+MS1.CC1-Q66501 ]"</t>
  </si>
  <si>
    <t>Safety Breaker [ =S1+MS1.CC1-Q67001 ]</t>
  </si>
  <si>
    <t>PNC_Q_SORTER-01_Safety Breaker [ =S1+MS1.CC1-Q67001 ]</t>
  </si>
  <si>
    <t>"01_Pushbutton"."Safety Breaker [ =S1+MS1.CC1-Q67001 _ =S1+MS1.CC1-Q67001 ]"</t>
  </si>
  <si>
    <t>Fire Alarm [ =S1+MS1.CC1-X40001 ]</t>
  </si>
  <si>
    <t>PNC_Q_SORTER-01_Fire Alarm [ =S1+MS1.CC1-X40001 ]</t>
  </si>
  <si>
    <t>"Fire Alarm [ =S1+MS1.CC1-X40001 ]"</t>
  </si>
  <si>
    <t>Safety Encoder 0001 Sensor 1 [ =S1+PC1.CC1-X81001 ]</t>
  </si>
  <si>
    <t>PNC_Q_SORTER-01_Safety Encoder 0001 Sensor 1 [ =S1+PC1.CC1-X81001 ]</t>
  </si>
  <si>
    <t>"04_SPEED"."Safety Encoder 0001 Sensor 1 Healthy [ =S1+PC1.CC1-X81001 ]"</t>
  </si>
  <si>
    <t>Safety Encoder 0001 Sensor 2 [ =S1+PC1.CC1-X81001 ]</t>
  </si>
  <si>
    <t>PNC_Q_SORTER-01_Safety Encoder 0001 Sensor 2 [ =S1+PC1.CC1-X81001 ]</t>
  </si>
  <si>
    <t>"04_SPEED"."Safety Encoder 0001 Sensor 2 Healthy [ =S1+PC1.CC1-X81001 ]"</t>
  </si>
  <si>
    <t>Door Closed Safety Input 1 [ =S1+SG1-B1 ]</t>
  </si>
  <si>
    <t>PNC_Q_SORTER-01_{db_element}</t>
  </si>
  <si>
    <t>"05_DOORS"."Door Closed SAFE_STATE [ =S1+SG1-B1 _ =S1+SG1-B1 ]"</t>
  </si>
  <si>
    <t>Door Closed Safety Input 1 [ =S1+SG2-B1 ]</t>
  </si>
  <si>
    <t>"05_DOORS"."Door Closed SAFE_STATE [ =S1+SG2-B1 _ =S1+SG2-B1 ]"</t>
  </si>
  <si>
    <t>Door Closed Safety Input 1 [ =S2+SG3-B1 ]</t>
  </si>
  <si>
    <t>"05_DOORS"."Door Closed SAFE_STATE [ =S2+SG3-B1 _ =S2+SG3-B1 ]"</t>
  </si>
  <si>
    <t>Door Closed Safety Input 1 [ =S2+SG4-B1 ]</t>
  </si>
  <si>
    <t>"05_DOORS"."Door Closed SAFE_STATE [ =S2+SG4-B1 _ =S2+SG4-B1 ]"</t>
  </si>
  <si>
    <t>Safety Door Alarm - Not Properly Closed</t>
  </si>
  <si>
    <t>Door Alarm [ =S1+SG1-B1 ]</t>
  </si>
  <si>
    <t>PNC_Q_Door Alarm [ =S1+SG1-B1 ]</t>
  </si>
  <si>
    <t>"05_DOORS"."Door Alarm [ =S1+SG1-B1 ]"</t>
  </si>
  <si>
    <t>Door Alarm [ =S1+SG2-B1 ]</t>
  </si>
  <si>
    <t>PNC_Q_Door Alarm [ =S1+SG2-B1 ]</t>
  </si>
  <si>
    <t>"05_DOORS"."Door Alarm [ =S1+SG2-B1 ]"</t>
  </si>
  <si>
    <t>Door Alarm [ =S2+SG3-B1 ]</t>
  </si>
  <si>
    <t>PNC_Q_Door Alarm [ =S2+SG3-B1 ]</t>
  </si>
  <si>
    <t>"05_DOORS"."Door Alarm [ =S2+SG3-B1 ]"</t>
  </si>
  <si>
    <t>Door Alarm [ =S2+SG4-B1 ]</t>
  </si>
  <si>
    <t>PNC_Q_Door Alarm [ =S2+SG4-B1 ]</t>
  </si>
  <si>
    <t>"05_DOORS"."Door Alarm [ =S2+SG4-B1 ]"</t>
  </si>
  <si>
    <t>IF_ENCODER_SPEED</t>
  </si>
  <si>
    <t>Encoder Speed [ =S1+PC1.CC1-X81001 ]</t>
  </si>
  <si>
    <t>WORD</t>
  </si>
  <si>
    <t>PNC_Q_Encoder Speed [ =S1+PC1.CC1-X81001 ]</t>
  </si>
  <si>
    <t>IF_DOOR_CMD</t>
  </si>
  <si>
    <t>Open Door Request [ =S1+SG1-B1 ]</t>
  </si>
  <si>
    <t>PNC_I_Open Door Request [ =S1+SG1-B1 ]</t>
  </si>
  <si>
    <t>Open Door Request [ =S1+SG2-B1 ]</t>
  </si>
  <si>
    <t>PNC_I_Open Door Request [ =S1+SG2-B1 ]</t>
  </si>
  <si>
    <t>Open Door Request [ =S2+SG3-B1 ]</t>
  </si>
  <si>
    <t>PNC_I_Open Door Request [ =S2+SG3-B1 ]</t>
  </si>
  <si>
    <t>Open Door Request [ =S2+SG4-B1 ]</t>
  </si>
  <si>
    <t>PNC_I_Open Door Request [ =S2+SG4-B1 ]</t>
  </si>
  <si>
    <t>PNC_Q_SORTER-02 HEARTBEAT</t>
  </si>
  <si>
    <t>PNC_Q_SORTER-02 POWER ENABLED - NOT CUT</t>
  </si>
  <si>
    <t>PNC_Q_SORTER-02 EMERGENCY READY TO RESET</t>
  </si>
  <si>
    <t>PNC_Q_SORTER-02 EMERGENCY OK</t>
  </si>
  <si>
    <t>PNC_Q_SORTER-02 SAFETY ENCODER FAILURE</t>
  </si>
  <si>
    <t>PNC_I_SORTER-02 SORTER- RUNNING</t>
  </si>
  <si>
    <t>PNC_I_SORTER-02 EMERGENCY RESET</t>
  </si>
  <si>
    <t>PNC_Q_SORTER-02_PROFINET SWITCH  [ =S1+MC1.CC1-K66001 n0010-mc1-cc1-k66001 192.168.50.10 ]</t>
  </si>
  <si>
    <t>"PROFINET_NODES_WARNING"."n0010-mc1-cc1-k66001 192.168.50.10"</t>
  </si>
  <si>
    <t>PNC_Q_SORTER-02_PROFINET SWITCH  [ =S2+MC2.CC1-K66001 n0010-mc2-cc1-k66001 192.168.51.10 ]</t>
  </si>
  <si>
    <t>"PROFINET_NODES_WARNING"."n0010-mc2-cc1-k66001 192.168.51.10"</t>
  </si>
  <si>
    <t>PNC_Q_SORTER-02_FIELD BUS FAILURE - COUPLER  [ =S1+MC1.CC1-K66201 n0006-mc1-cc1-k66201 192.168.50.6 ]</t>
  </si>
  <si>
    <t>"PROFINET_NODES_ALARM"."n0006-mc1-cc1-k66201 192.168.50.6"</t>
  </si>
  <si>
    <t>PNC_Q_SORTER-02_FIELD BUS FAILURE - INPUT / OUTPUT MODULE  [ =S1+MS1.CC1-K65001 n0005-ms1-cc1-k65001 192.168.50.5 ]</t>
  </si>
  <si>
    <t>"PROFINET_NODES_ALARM"."n0005-ms1-cc1-k65001 192.168.50.5"</t>
  </si>
  <si>
    <t>PNC_Q_SORTER-02_FIELD BUS FAILURE - INPUT / OUTPUT MODULE  [ =S1+PC1.CC1-K65001 n0012-pc1-cc1-k65001 192.168.50.12 ]</t>
  </si>
  <si>
    <t>"PROFINET_NODES_ALARM"."n0012-pc1-cc1-k65001 192.168.50.12"</t>
  </si>
  <si>
    <t>PNC_Q_SORTER-02_FIELD BUS FAILURE - INPUT / OUTPUT MODULE  [ =S1+SM72-XNS1 n0031-sm72-xns1 192.168.50.31 ]</t>
  </si>
  <si>
    <t>"PROFINET_NODES_ALARM"."n0031-sm72-xns1 192.168.50.31"</t>
  </si>
  <si>
    <t>PNC_Q_SORTER-02_FIELD BUS FAILURE - INPUT / OUTPUT MODULE  [ =S2+MS2.CC1-K65001 n0005-ms2-cc1-k65001 192.168.51.5 ]</t>
  </si>
  <si>
    <t>"PROFINET_NODES_ALARM"."n0005-ms2-cc1-k65001 192.168.51.5"</t>
  </si>
  <si>
    <t>PNC_Q_SORTER-02_FIELD BUS FAILURE - INPUT / OUTPUT MODULE  [ =S2+PC2.CC1-K65001 n0012-pc2-cc1-k65001 192.168.51.12 ]</t>
  </si>
  <si>
    <t>"PROFINET_NODES_ALARM"."n0012-pc2-cc1-k65001 192.168.51.12"</t>
  </si>
  <si>
    <t>PNC_Q_SORTER-02_FIELD BUS FAILURE - INPUT / OUTPUT MODULE  [ =S2+SM73-XNS1 n0031-sm73-xns1 192.168.51.31 ]</t>
  </si>
  <si>
    <t>"PROFINET_NODES_ALARM"."n0031-sm73-xns1 192.168.51.31"</t>
  </si>
  <si>
    <t>CIRCUIT BREAKER TRIPPED 400V INDUCTION LINE GROUP IN1.CC1 [ =S1+MS1.CC1-F09001 ]</t>
  </si>
  <si>
    <t>PNC_Q_SORTER-02_CIRCUIT BREAKER TRIPPED 400V INDUCTION LINE GROUP IN1.CC1 [ =S1+MS1.CC1-F09001 ]</t>
  </si>
  <si>
    <t>"CIRCUIT BREAKER TRIPPED 400V INDUCTION LINE GROUP IN1.CC1 [ =S1+MS1.CC1-F09001 ]"</t>
  </si>
  <si>
    <t>CIRCUIT BREAKER TRIPPED 400V INDUCTION LINE GROUP IN2.CC1 [ =S1+MS1.CC1-F09002 ]</t>
  </si>
  <si>
    <t>PNC_Q_SORTER-02_CIRCUIT BREAKER TRIPPED 400V INDUCTION LINE GROUP IN2.CC1 [ =S1+MS1.CC1-F09002 ]</t>
  </si>
  <si>
    <t>"CIRCUIT BREAKER TRIPPED 400V INDUCTION LINE GROUP IN2.CC1 [ =S1+MS1.CC1-F09002 ]"</t>
  </si>
  <si>
    <t>CIRCUIT BREAKER TRIPPED 400V UPSTREAM CABINET UL1.CC1 [ =S1+MS1.CC1-F09003 ]</t>
  </si>
  <si>
    <t>PNC_Q_SORTER-02_CIRCUIT BREAKER TRIPPED 400V UPSTREAM CABINET UL1.CC1 [ =S1+MS1.CC1-F09003 ]</t>
  </si>
  <si>
    <t>"CIRCUIT BREAKER TRIPPED 400V UPSTREAM CABINET UL1.CC1 [ =S1+MS1.CC1-F09003 ]"</t>
  </si>
  <si>
    <t>CIRCUIT BREAKER TRIPPED 400V UPSTREAM CABINET UL2.CC1 [ =S1+MS1.CC1-F09004 ]</t>
  </si>
  <si>
    <t>PNC_Q_SORTER-02_CIRCUIT BREAKER TRIPPED 400V UPSTREAM CABINET UL2.CC1 [ =S1+MS1.CC1-F09004 ]</t>
  </si>
  <si>
    <t>"CIRCUIT BREAKER TRIPPED 400V UPSTREAM CABINET UL2.CC1 [ =S1+MS1.CC1-F09004 ]"</t>
  </si>
  <si>
    <t>CIRCUIT BREAKER TRIPPED 400V  CHUTE CABINET DL1.CC1 [ =S1+MS1.CC1-F09005 ]</t>
  </si>
  <si>
    <t>PNC_Q_SORTER-02_CIRCUIT BREAKER TRIPPED 400V  CHUTE CABINET DL1.CC1 [ =S1+MS1.CC1-F09005 ]</t>
  </si>
  <si>
    <t>"CIRCUIT BREAKER TRIPPED 400V  CHUTE CABINET DL1.CC1 [ =S1+MS1.CC1-F09005 ]"</t>
  </si>
  <si>
    <t>CIRCUIT BREAKER TRIPPED 400V  CHUTE CABINET DL2.CC1 [ =S1+MS1.CC1-F09101 ]</t>
  </si>
  <si>
    <t>PNC_Q_SORTER-02_CIRCUIT BREAKER TRIPPED 400V  CHUTE CABINET DL2.CC1 [ =S1+MS1.CC1-F09101 ]</t>
  </si>
  <si>
    <t>"CIRCUIT BREAKER TRIPPED 400V  CHUTE CABINET DL2.CC1 [ =S1+MS1.CC1-F09101 ]"</t>
  </si>
  <si>
    <t>CIRCUIT BREAKER TRIPPED 400V  CHUTE CABINET DL2.CC1 [ =S1+MS1.CC1-F09102 ]</t>
  </si>
  <si>
    <t>PNC_Q_SORTER-02_CIRCUIT BREAKER TRIPPED 400V  CHUTE CABINET DL2.CC1 [ =S1+MS1.CC1-F09102 ]</t>
  </si>
  <si>
    <t>"CIRCUIT BREAKER TRIPPED 400V  CHUTE CABINET DL2.CC1 [ =S1+MS1.CC1-F09102 ]"</t>
  </si>
  <si>
    <t>CIRCUIT BREAKER TRIPPED POWER INFEED 400V SAFETY IN2.CC1 [ =S1+IN2.CC1-F30001 ]</t>
  </si>
  <si>
    <t>PNC_Q_SORTER-02_CIRCUIT BREAKER TRIPPED POWER INFEED 400V SAFETY IN2.CC1 [ =S1+IN2.CC1-F30001 ]</t>
  </si>
  <si>
    <t>"CIRCUIT BREAKER TRIPPED POWER INFEED 400V SAFETY IN2.CC1 [ =S1+IN2.CC1-F30001 ]"</t>
  </si>
  <si>
    <t>POWER SUPPLY UNIT FAILURE IN2.CC1 [ =S1+IN2.CC1-T30001 ]</t>
  </si>
  <si>
    <t>PNC_Q_SORTER-02_POWER SUPPLY UNIT FAILURE IN2.CC1 [ =S1+IN2.CC1-T30001 ]</t>
  </si>
  <si>
    <t>"POWER SUPPLY UNIT FAILURE IN2.CC1 [ =S1+IN2.CC1-T30001 ]"</t>
  </si>
  <si>
    <t>CIRCUIT BREAKER TRIPPED POWER SUPPLY 24V SAFETY AND I/O  IN2.CC1 [ =S1+IN2.CC1-F30102 ]</t>
  </si>
  <si>
    <t>PNC_Q_SORTER-02_CIRCUIT BREAKER TRIPPED POWER SUPPLY 24V SAFETY AND I/O  IN2.CC1 [ =S1+IN2.CC1-F30102 ]</t>
  </si>
  <si>
    <t>"CIRCUIT BREAKER TRIPPED POWER SUPPLY 24V SAFETY AND I/O  IN2.CC1 [ =S1+IN2.CC1-F30102 ]"</t>
  </si>
  <si>
    <t>CIRCUIT BREAKER TRIPPED POWER SUPPLY 24V SWITCH IN2.CC1 [ =S1+IN2.CC1-F30101 ]</t>
  </si>
  <si>
    <t>PNC_Q_SORTER-02_CIRCUIT BREAKER TRIPPED POWER SUPPLY 24V SWITCH IN2.CC1 [ =S1+IN2.CC1-F30101 ]</t>
  </si>
  <si>
    <t>"CIRCUIT BREAKER TRIPPED POWER SUPPLY 24V SWITCH IN2.CC1 [ =S1+IN2.CC1-F30101 ]"</t>
  </si>
  <si>
    <t>PROFINET SWITCH FAULT  [ =S1+IN2.CC1-K60001 ]</t>
  </si>
  <si>
    <t>PNC_Q_SORTER-02_PROFINET SWITCH FAULT  [ =S1+IN2.CC1-K60001 ]</t>
  </si>
  <si>
    <t>"PROFINET SWITCH FAULT  [ =S1+IN2.CC1-K60001 ]"</t>
  </si>
  <si>
    <t>CIRCUIT BREAKER TRIPPED 400V INDUCTION LINE GROUP IN1.CC1 [ =S2+MS2.CC1-F09001 ]</t>
  </si>
  <si>
    <t>PNC_Q_SORTER-02_CIRCUIT BREAKER TRIPPED 400V INDUCTION LINE GROUP IN1.CC1 [ =S2+MS2.CC1-F09001 ]</t>
  </si>
  <si>
    <t>"CIRCUIT BREAKER TRIPPED 400V INDUCTION LINE GROUP IN1.CC1 [ =S2+MS2.CC1-F09001 ]"</t>
  </si>
  <si>
    <t>CIRCUIT BREAKER TRIPPED 400V INDUCTION LINE GROUP IN2.CC1 [ =S2+MS2.CC1-F09002 ]</t>
  </si>
  <si>
    <t>PNC_Q_SORTER-02_CIRCUIT BREAKER TRIPPED 400V INDUCTION LINE GROUP IN2.CC1 [ =S2+MS2.CC1-F09002 ]</t>
  </si>
  <si>
    <t>"CIRCUIT BREAKER TRIPPED 400V INDUCTION LINE GROUP IN2.CC1 [ =S2+MS2.CC1-F09002 ]"</t>
  </si>
  <si>
    <t>CIRCUIT BREAKER TRIPPED 400V UPSTREAM CABINET UL1.CC1 [ =S2+MS2.CC1-F09003 ]</t>
  </si>
  <si>
    <t>PNC_Q_SORTER-02_CIRCUIT BREAKER TRIPPED 400V UPSTREAM CABINET UL1.CC1 [ =S2+MS2.CC1-F09003 ]</t>
  </si>
  <si>
    <t>"CIRCUIT BREAKER TRIPPED 400V UPSTREAM CABINET UL1.CC1 [ =S2+MS2.CC1-F09003 ]"</t>
  </si>
  <si>
    <t>CIRCUIT BREAKER TRIPPED 400V UPSTREAM CABINET UL2.CC1 [ =S2+MS2.CC1-F09004 ]</t>
  </si>
  <si>
    <t>PNC_Q_SORTER-02_CIRCUIT BREAKER TRIPPED 400V UPSTREAM CABINET UL2.CC1 [ =S2+MS2.CC1-F09004 ]</t>
  </si>
  <si>
    <t>"CIRCUIT BREAKER TRIPPED 400V UPSTREAM CABINET UL2.CC1 [ =S2+MS2.CC1-F09004 ]"</t>
  </si>
  <si>
    <t>CIRCUIT BREAKER TRIPPED 400V  CHUTE CABINET DL1.CC1 [ =S2+MS2.CC1-F09005 ]</t>
  </si>
  <si>
    <t>PNC_Q_SORTER-02_CIRCUIT BREAKER TRIPPED 400V  CHUTE CABINET DL1.CC1 [ =S2+MS2.CC1-F09005 ]</t>
  </si>
  <si>
    <t>"CIRCUIT BREAKER TRIPPED 400V  CHUTE CABINET DL1.CC1 [ =S2+MS2.CC1-F09005 ]"</t>
  </si>
  <si>
    <t>CIRCUIT BREAKER TRIPPED 400V  CHUTE CABINET DL2.CC1 [ =S2+MS2.CC1-F09101 ]</t>
  </si>
  <si>
    <t>PNC_Q_SORTER-02_CIRCUIT BREAKER TRIPPED 400V  CHUTE CABINET DL2.CC1 [ =S2+MS2.CC1-F09101 ]</t>
  </si>
  <si>
    <t>"CIRCUIT BREAKER TRIPPED 400V  CHUTE CABINET DL2.CC1 [ =S2+MS2.CC1-F09101 ]"</t>
  </si>
  <si>
    <t>CIRCUIT BREAKER TRIPPED 400V  CHUTE CABINET DL2.CC1 [ =S2+MS2.CC1-F09102 ]</t>
  </si>
  <si>
    <t>PNC_Q_SORTER-02_CIRCUIT BREAKER TRIPPED 400V  CHUTE CABINET DL2.CC1 [ =S2+MS2.CC1-F09102 ]</t>
  </si>
  <si>
    <t>"CIRCUIT BREAKER TRIPPED 400V  CHUTE CABINET DL2.CC1 [ =S2+MS2.CC1-F09102 ]"</t>
  </si>
  <si>
    <t>CIRCUIT BREAKER TRIPPED POWER INFEED 400V SAFETY IN2.CC1 [ =S2+IN4.CC1-F30001 ]</t>
  </si>
  <si>
    <t>PNC_Q_SORTER-02_CIRCUIT BREAKER TRIPPED POWER INFEED 400V SAFETY IN2.CC1 [ =S2+IN4.CC1-F30001 ]</t>
  </si>
  <si>
    <t>"CIRCUIT BREAKER TRIPPED POWER INFEED 400V SAFETY IN2.CC1 [ =S2+IN4.CC1-F30001 ]"</t>
  </si>
  <si>
    <t>POWER SUPPLY UNIT FAILURE IN2.CC1 [ =S2+IN4.CC1-T30001 ]</t>
  </si>
  <si>
    <t>PNC_Q_SORTER-02_POWER SUPPLY UNIT FAILURE IN2.CC1 [ =S2+IN4.CC1-T30001 ]</t>
  </si>
  <si>
    <t>"POWER SUPPLY UNIT FAILURE IN2.CC1 [ =S2+IN4.CC1-T30001 ]"</t>
  </si>
  <si>
    <t>CIRCUIT BREAKER TRIPPED POWER SUPPLY 24V SAFETY AND I/O  IN2.CC1 [ =S2+IN4.CC1-F30102 ]</t>
  </si>
  <si>
    <t>PNC_Q_SORTER-02_CIRCUIT BREAKER TRIPPED POWER SUPPLY 24V SAFETY AND I/O  IN2.CC1 [ =S2+IN4.CC1-F30102 ]</t>
  </si>
  <si>
    <t>"CIRCUIT BREAKER TRIPPED POWER SUPPLY 24V SAFETY AND I/O  IN2.CC1 [ =S2+IN4.CC1-F30102 ]"</t>
  </si>
  <si>
    <t>CIRCUIT BREAKER TRIPPED POWER SUPPLY 24V SWITCH IN2.CC1 [ =S2+IN4.CC1-F30101 ]</t>
  </si>
  <si>
    <t>PNC_Q_SORTER-02_CIRCUIT BREAKER TRIPPED POWER SUPPLY 24V SWITCH IN2.CC1 [ =S2+IN4.CC1-F30101 ]</t>
  </si>
  <si>
    <t>"CIRCUIT BREAKER TRIPPED POWER SUPPLY 24V SWITCH IN2.CC1 [ =S2+IN4.CC1-F30101 ]"</t>
  </si>
  <si>
    <t>PROFINET SWITCH FAULT  [ =S2+IN4.CC1-K60001 ]</t>
  </si>
  <si>
    <t>PNC_Q_SORTER-02_PROFINET SWITCH FAULT  [ =S2+IN4.CC1-K60001 ]</t>
  </si>
  <si>
    <t>"PROFINET SWITCH FAULT  [ =S2+IN4.CC1-K60001 ]"</t>
  </si>
  <si>
    <t>CIRCUIT BREAKER TRIPPED POWER INFEED 400V SAFETY IN1.CC1 [ =S1+IN1.CC1-F30001 ]</t>
  </si>
  <si>
    <t>PNC_Q_SORTER-02_CIRCUIT BREAKER TRIPPED POWER INFEED 400V SAFETY IN1.CC1 [ =S1+IN1.CC1-F30001 ]</t>
  </si>
  <si>
    <t>"CIRCUIT BREAKER TRIPPED POWER INFEED 400V SAFETY IN1.CC1 [ =S1+IN1.CC1-F30001 ]"</t>
  </si>
  <si>
    <t>POWER SUPPLY UNIT FAILURE IN1.CC1 [ =S1+IN1.CC1-T30001 ]</t>
  </si>
  <si>
    <t>PNC_Q_SORTER-02_POWER SUPPLY UNIT FAILURE IN1.CC1 [ =S1+IN1.CC1-T30001 ]</t>
  </si>
  <si>
    <t>"POWER SUPPLY UNIT FAILURE IN1.CC1 [ =S1+IN1.CC1-T30001 ]"</t>
  </si>
  <si>
    <t>CIRCUIT BREAKER TRIPPED POWER SUPPLY 24V SAFETY AND I/O  IN1.CC1 [ =S1+IN1.CC1-F30102 ]</t>
  </si>
  <si>
    <t>PNC_Q_SORTER-02_CIRCUIT BREAKER TRIPPED POWER SUPPLY 24V SAFETY AND I/O  IN1.CC1 [ =S1+IN1.CC1-F30102 ]</t>
  </si>
  <si>
    <t>"CIRCUIT BREAKER TRIPPED POWER SUPPLY 24V SAFETY AND I/O  IN1.CC1 [ =S1+IN1.CC1-F30102 ]"</t>
  </si>
  <si>
    <t>CIRCUIT BREAKER TRIPPED POWER SUPPLY 24V SWITCH IN1.CC1 [ =S1+IN1.CC1-F30101 ]</t>
  </si>
  <si>
    <t>PNC_Q_SORTER-02_CIRCUIT BREAKER TRIPPED POWER SUPPLY 24V SWITCH IN1.CC1 [ =S1+IN1.CC1-F30101 ]</t>
  </si>
  <si>
    <t>"CIRCUIT BREAKER TRIPPED POWER SUPPLY 24V SWITCH IN1.CC1 [ =S1+IN1.CC1-F30101 ]"</t>
  </si>
  <si>
    <t>PROFINET SWITCH FAULT  [ =S1+IN1.CC1-K60001 ]</t>
  </si>
  <si>
    <t>PNC_Q_SORTER-02_PROFINET SWITCH FAULT  [ =S1+IN1.CC1-K60001 ]</t>
  </si>
  <si>
    <t>"PROFINET SWITCH FAULT  [ =S1+IN1.CC1-K60001 ]"</t>
  </si>
  <si>
    <t>CIRCUIT BREAKER TRIPPED POWER INFEED 400V SAFETY IN1.CC1 [ =S2+IN3.CC1-F30001 ]</t>
  </si>
  <si>
    <t>PNC_Q_SORTER-02_CIRCUIT BREAKER TRIPPED POWER INFEED 400V SAFETY IN1.CC1 [ =S2+IN3.CC1-F30001 ]</t>
  </si>
  <si>
    <t>"CIRCUIT BREAKER TRIPPED POWER INFEED 400V SAFETY IN1.CC1 [ =S2+IN3.CC1-F30001 ]"</t>
  </si>
  <si>
    <t>POWER SUPPLY UNIT FAILURE IN1.CC1 [ =S2+IN3.CC1-T30001 ]</t>
  </si>
  <si>
    <t>PNC_Q_SORTER-02_POWER SUPPLY UNIT FAILURE IN1.CC1 [ =S2+IN3.CC1-T30001 ]</t>
  </si>
  <si>
    <t>"POWER SUPPLY UNIT FAILURE IN1.CC1 [ =S2+IN3.CC1-T30001 ]"</t>
  </si>
  <si>
    <t>CIRCUIT BREAKER TRIPPED POWER SUPPLY 24V SAFETY AND I/O  IN1.CC1 [ =S2+IN3.CC1-F30102 ]</t>
  </si>
  <si>
    <t>PNC_Q_SORTER-02_CIRCUIT BREAKER TRIPPED POWER SUPPLY 24V SAFETY AND I/O  IN1.CC1 [ =S2+IN3.CC1-F30102 ]</t>
  </si>
  <si>
    <t>"CIRCUIT BREAKER TRIPPED POWER SUPPLY 24V SAFETY AND I/O  IN1.CC1 [ =S2+IN3.CC1-F30102 ]"</t>
  </si>
  <si>
    <t>CIRCUIT BREAKER TRIPPED POWER SUPPLY 24V SWITCH IN1.CC1 [ =S2+IN3.CC1-F30101 ]</t>
  </si>
  <si>
    <t>PNC_Q_SORTER-02_CIRCUIT BREAKER TRIPPED POWER SUPPLY 24V SWITCH IN1.CC1 [ =S2+IN3.CC1-F30101 ]</t>
  </si>
  <si>
    <t>"CIRCUIT BREAKER TRIPPED POWER SUPPLY 24V SWITCH IN1.CC1 [ =S2+IN3.CC1-F30101 ]"</t>
  </si>
  <si>
    <t>PROFINET SWITCH FAULT  [ =S2+IN3.CC1-K60001 ]</t>
  </si>
  <si>
    <t>PNC_Q_SORTER-02_PROFINET SWITCH FAULT  [ =S2+IN3.CC1-K60001 ]</t>
  </si>
  <si>
    <t>"PROFINET SWITCH FAULT  [ =S2+IN3.CC1-K60001 ]"</t>
  </si>
  <si>
    <t>PNC_Q_SORTER-02_Emergency Status Feedback Area  [ =S1+MS1.CC1-Q66501 ]</t>
  </si>
  <si>
    <t>Emergency Status Feedback Area  [ =S1+MS1.CC1-Q66502 ]</t>
  </si>
  <si>
    <t>PNC_Q_SORTER-02_Emergency Status Feedback Area  [ =S1+MS1.CC1-Q66502 ]</t>
  </si>
  <si>
    <t>"Emergency Status Feedback Area  [ =S1+MS1.CC1-Q66502 ]"</t>
  </si>
  <si>
    <t>Emergency Status Feedback Area  [ =S1+MS1.CC1-Q66503 ]</t>
  </si>
  <si>
    <t>PNC_Q_SORTER-02_Emergency Status Feedback Area  [ =S1+MS1.CC1-Q66503 ]</t>
  </si>
  <si>
    <t>"Emergency Status Feedback Area  [ =S1+MS1.CC1-Q66503 ]"</t>
  </si>
  <si>
    <t>Emergency Push Button [ =S1+MS1.CC1-S67001 ]</t>
  </si>
  <si>
    <t>PNC_Q_SORTER-02_Emergency Push Button [ =S1+MS1.CC1-S67001 ]</t>
  </si>
  <si>
    <t>"01_Pushbutton"."Emergency Push Button [ =S1+MS1.CC1-S67001 _ =S1+MS1.CC1-S67001 ]"</t>
  </si>
  <si>
    <t>Emergency Push Button [ =S1+PC1.CC1-X80101 ]</t>
  </si>
  <si>
    <t>PNC_Q_SORTER-02_Emergency Push Button [ =S1+PC1.CC1-X80101 ]</t>
  </si>
  <si>
    <t>"01_Pushbutton"."Emergency Push Button [ =S1+PC1.CC1-X80101 _ =S1+PC1.CC1-X80101 ]"</t>
  </si>
  <si>
    <t>Emergency Push Button [ =S2+MS2.CC1-S67001 ]</t>
  </si>
  <si>
    <t>PNC_Q_SORTER-02_Emergency Push Button [ =S2+MS2.CC1-S67001 ]</t>
  </si>
  <si>
    <t>"01_Pushbutton"."Emergency Push Button [ =S2+MS2.CC1-S67001 _ =S2+MS2.CC1-S67001 ]"</t>
  </si>
  <si>
    <t>Emergency Push Button [ =S2+PC2.CC1-X80101 ]</t>
  </si>
  <si>
    <t>PNC_Q_SORTER-02_Emergency Push Button [ =S2+PC2.CC1-X80101 ]</t>
  </si>
  <si>
    <t>"01_Pushbutton"."Emergency Push Button [ =S2+PC2.CC1-X80101 _ =S2+PC2.CC1-X80101 ]"</t>
  </si>
  <si>
    <t>PNC_Q_SORTER-02_Safety Breaker [ =S1+MS1.CC1-Q67001 ]</t>
  </si>
  <si>
    <t>Safety Breaker [ =S2+MS2.CC1-Q67001 ]</t>
  </si>
  <si>
    <t>PNC_Q_SORTER-02_Safety Breaker [ =S2+MS2.CC1-Q67001 ]</t>
  </si>
  <si>
    <t>"01_Pushbutton"."Safety Breaker [ =S2+MS2.CC1-Q67001 _ =S2+MS2.CC1-Q67001 ]"</t>
  </si>
  <si>
    <t>PNC_Q_SORTER-02_Fire Alarm [ =S1+MS1.CC1-X40001 ]</t>
  </si>
  <si>
    <t>Fire Alarm [ =S2+MS2.CC1-X40001 ]</t>
  </si>
  <si>
    <t>PNC_Q_SORTER-02_Fire Alarm [ =S2+MS2.CC1-X40001 ]</t>
  </si>
  <si>
    <t>"Fire Alarm [ =S2+MS2.CC1-X40001 ]"</t>
  </si>
  <si>
    <t>PNC_Q_SORTER-02_Safety Encoder 0001 Sensor 1 [ =S1+PC1.CC1-X81001 ]</t>
  </si>
  <si>
    <t>Safety Encoder 0002 Sensor 1 [ =S2+PC2.CC1-X81001 ]</t>
  </si>
  <si>
    <t>PNC_Q_SORTER-02_Safety Encoder 0002 Sensor 1 [ =S2+PC2.CC1-X81001 ]</t>
  </si>
  <si>
    <t>"04_SPEED"."Safety Encoder 0002 Sensor 1 Healthy [ =S2+PC2.CC1-X81001 ]"</t>
  </si>
  <si>
    <t>PNC_Q_SORTER-02_Safety Encoder 0001 Sensor 2 [ =S1+PC1.CC1-X81001 ]</t>
  </si>
  <si>
    <t>Safety Encoder 0002 Sensor 2 [ =S2+PC2.CC1-X81001 ]</t>
  </si>
  <si>
    <t>PNC_Q_SORTER-02_Safety Encoder 0002 Sensor 2 [ =S2+PC2.CC1-X81001 ]</t>
  </si>
  <si>
    <t>"04_SPEED"."Safety Encoder 0002 Sensor 2 Healthy [ =S2+PC2.CC1-X81001 ]"</t>
  </si>
  <si>
    <t>PNC_Q_SORTER-02_{db_element}</t>
  </si>
  <si>
    <t>Door Closed Diagnosis Input [ =S1+SG1-B1 ]</t>
  </si>
  <si>
    <t>"05_DOORS"."Door Alarm [ =S1+SG1-B1 _  ]"</t>
  </si>
  <si>
    <t>Door Closed Diagnosis Input [ =S1+SG2-B1 ]</t>
  </si>
  <si>
    <t>"05_DOORS"."Door Alarm [ =S1+SG2-B1 _  ]"</t>
  </si>
  <si>
    <t>Door Closed Diagnosis Input [ =S2+SG3-B1 ]</t>
  </si>
  <si>
    <t>"05_DOORS"."Door Alarm [ =S2+SG3-B1 _  ]"</t>
  </si>
  <si>
    <t>Door Closed Diagnosis Input [ =S2+SG4-B1 ]</t>
  </si>
  <si>
    <t>"05_DOORS"."Door Alarm [ =S2+SG4-B1 _  ]"</t>
  </si>
  <si>
    <t>Contactor Output [ =S1+PC1.CC1-Q66401..2 ]</t>
  </si>
  <si>
    <t>PNC_Q_SORTER-02_Contactor Output [ =S1+PC1.CC1-Q66401..2 ]</t>
  </si>
  <si>
    <t>"03_FDBACK"."Contactor Feedback Error"</t>
  </si>
  <si>
    <t>Emergency Status Feedback Area  [ =S2+MS2.CC1-Q66501 ]</t>
  </si>
  <si>
    <t>PNC_Q_SORTER-02_Emergency Status Feedback Area  [ =S2+MS2.CC1-Q66501 ]</t>
  </si>
  <si>
    <t>"Emergency Status Feedback Area  [ =S2+MS2.CC1-Q66501 ]"</t>
  </si>
  <si>
    <t>Encoder Speed [ =S2+PC2.CC1-X81001 ]</t>
  </si>
  <si>
    <t>PNC_Q_Encoder Speed [ =S2+PC2.CC1-X81001 ]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</si>
</sst>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24"/>
      <name val="Arial"/>
      <family val="2"/>
    </font>
    <font>
      <sz val="22"/>
      <name val="Arial"/>
      <family val="2"/>
    </font>
    <font>
      <sz val="10"/>
      <color indexed="42"/>
      <name val="Arial"/>
      <family val="2"/>
    </font>
    <font>
      <b/>
      <sz val="10"/>
      <color indexed="25"/>
      <name val="Arial"/>
      <family val="2"/>
    </font>
    <font>
      <strike/>
      <sz val="10"/>
      <name val="Calibri Light"/>
      <family val="2"/>
    </font>
    <font>
      <sz val="11"/>
      <color rgb="FF006100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color rgb="FFFF00FF"/>
      <name val="Calibri"/>
      <family val="2"/>
      <scheme val="minor"/>
    </font>
    <font>
      <sz val="10"/>
      <color rgb="FFFF00FF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BankGothic Md BT"/>
      <family val="2"/>
    </font>
    <font>
      <sz val="11"/>
      <color theme="1"/>
      <name val="Consolas"/>
      <family val="3"/>
    </font>
    <font>
      <b/>
      <sz val="11"/>
      <color theme="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FFAF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0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3" fillId="5" borderId="0"/>
    <xf numFmtId="0" fontId="5" fillId="0" borderId="0"/>
    <xf numFmtId="0" fontId="22" fillId="0" borderId="0"/>
  </cellStyleXfs>
  <cellXfs count="91">
    <xf numFmtId="0" fontId="0" fillId="0" borderId="0" xfId="0"/>
    <xf numFmtId="0" fontId="8" fillId="0" borderId="0" xfId="3" applyFont="1"/>
    <xf numFmtId="0" fontId="9" fillId="0" borderId="0" xfId="3" applyFont="1"/>
    <xf numFmtId="0" fontId="10" fillId="0" borderId="0" xfId="3" applyFont="1" applyAlignment="1">
      <alignment horizontal="center" vertical="center"/>
    </xf>
    <xf numFmtId="0" fontId="6" fillId="0" borderId="0" xfId="3" applyAlignment="1">
      <alignment vertical="center"/>
    </xf>
    <xf numFmtId="49" fontId="6" fillId="0" borderId="4" xfId="3" applyNumberFormat="1" applyBorder="1" applyAlignment="1">
      <alignment horizontal="center" vertical="center"/>
    </xf>
    <xf numFmtId="49" fontId="6" fillId="0" borderId="0" xfId="3" applyNumberFormat="1" applyAlignment="1">
      <alignment horizontal="center" vertical="center"/>
    </xf>
    <xf numFmtId="49" fontId="6" fillId="0" borderId="0" xfId="3" applyNumberFormat="1" applyAlignment="1">
      <alignment horizontal="left" vertical="center"/>
    </xf>
    <xf numFmtId="49" fontId="6" fillId="0" borderId="5" xfId="3" applyNumberFormat="1" applyBorder="1" applyAlignment="1">
      <alignment horizontal="center" vertical="center"/>
    </xf>
    <xf numFmtId="0" fontId="6" fillId="0" borderId="0" xfId="3"/>
    <xf numFmtId="49" fontId="6" fillId="0" borderId="4" xfId="3" applyNumberFormat="1" applyBorder="1" applyAlignment="1">
      <alignment horizontal="center"/>
    </xf>
    <xf numFmtId="49" fontId="6" fillId="0" borderId="5" xfId="3" applyNumberFormat="1" applyBorder="1"/>
    <xf numFmtId="49" fontId="6" fillId="0" borderId="6" xfId="3" applyNumberFormat="1" applyBorder="1" applyAlignment="1">
      <alignment horizontal="center"/>
    </xf>
    <xf numFmtId="49" fontId="6" fillId="0" borderId="7" xfId="3" applyNumberFormat="1" applyBorder="1" applyAlignment="1">
      <alignment horizontal="center" vertical="center"/>
    </xf>
    <xf numFmtId="49" fontId="6" fillId="0" borderId="8" xfId="3" applyNumberFormat="1" applyBorder="1"/>
    <xf numFmtId="0" fontId="6" fillId="0" borderId="0" xfId="3" applyAlignment="1">
      <alignment horizontal="center" vertical="center"/>
    </xf>
    <xf numFmtId="0" fontId="11" fillId="0" borderId="0" xfId="3" applyFont="1"/>
    <xf numFmtId="49" fontId="3" fillId="3" borderId="0" xfId="1" applyNumberFormat="1" applyFont="1" applyFill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4" borderId="9" xfId="1" applyNumberFormat="1" applyFont="1" applyFill="1" applyBorder="1" applyAlignment="1">
      <alignment horizontal="center" vertical="center"/>
    </xf>
    <xf numFmtId="49" fontId="3" fillId="4" borderId="9" xfId="1" quotePrefix="1" applyNumberFormat="1" applyFont="1" applyFill="1" applyBorder="1" applyAlignment="1">
      <alignment horizontal="center" vertical="center"/>
    </xf>
    <xf numFmtId="0" fontId="12" fillId="0" borderId="0" xfId="3" applyFont="1"/>
    <xf numFmtId="49" fontId="4" fillId="0" borderId="0" xfId="1" quotePrefix="1" applyNumberFormat="1" applyFont="1" applyAlignment="1">
      <alignment horizontal="center" vertical="center"/>
    </xf>
    <xf numFmtId="49" fontId="4" fillId="0" borderId="7" xfId="1" quotePrefix="1" applyNumberFormat="1" applyFont="1" applyBorder="1" applyAlignment="1">
      <alignment horizontal="center" vertical="center"/>
    </xf>
    <xf numFmtId="49" fontId="3" fillId="4" borderId="1" xfId="1" quotePrefix="1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3" fillId="4" borderId="0" xfId="1" quotePrefix="1" applyNumberFormat="1" applyFont="1" applyFill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49" fontId="4" fillId="0" borderId="7" xfId="2" applyNumberFormat="1" applyFont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1" fillId="0" borderId="7" xfId="0" quotePrefix="1" applyNumberFormat="1" applyFont="1" applyBorder="1" applyAlignment="1">
      <alignment horizontal="center" vertical="center"/>
    </xf>
    <xf numFmtId="49" fontId="14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4" fillId="6" borderId="0" xfId="1" applyNumberFormat="1" applyFont="1" applyFill="1" applyAlignment="1">
      <alignment horizontal="center" vertical="center"/>
    </xf>
    <xf numFmtId="49" fontId="15" fillId="7" borderId="0" xfId="1" applyNumberFormat="1" applyFont="1" applyFill="1" applyAlignment="1">
      <alignment horizontal="center" vertical="top" wrapText="1"/>
    </xf>
    <xf numFmtId="49" fontId="16" fillId="7" borderId="0" xfId="1" applyNumberFormat="1" applyFont="1" applyFill="1" applyAlignment="1">
      <alignment horizontal="center" vertical="center"/>
    </xf>
    <xf numFmtId="49" fontId="4" fillId="8" borderId="0" xfId="1" applyNumberFormat="1" applyFont="1" applyFill="1" applyAlignment="1">
      <alignment horizontal="center" vertical="center"/>
    </xf>
    <xf numFmtId="0" fontId="18" fillId="9" borderId="0" xfId="1" applyFont="1" applyFill="1" applyAlignment="1">
      <alignment horizontal="center" vertical="top" wrapText="1"/>
    </xf>
    <xf numFmtId="0" fontId="19" fillId="9" borderId="0" xfId="1" applyFont="1" applyFill="1" applyAlignment="1">
      <alignment horizontal="center" vertical="center" wrapText="1"/>
    </xf>
    <xf numFmtId="49" fontId="19" fillId="9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49" fontId="4" fillId="7" borderId="0" xfId="1" applyNumberFormat="1" applyFont="1" applyFill="1" applyAlignment="1">
      <alignment horizontal="center" vertical="center"/>
    </xf>
    <xf numFmtId="49" fontId="4" fillId="7" borderId="7" xfId="1" applyNumberFormat="1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left" vertical="center"/>
    </xf>
    <xf numFmtId="0" fontId="7" fillId="2" borderId="3" xfId="3" applyFont="1" applyFill="1" applyBorder="1" applyAlignment="1">
      <alignment horizontal="center" vertical="center"/>
    </xf>
    <xf numFmtId="49" fontId="21" fillId="0" borderId="0" xfId="0" applyNumberFormat="1" applyFont="1" applyAlignment="1">
      <alignment horizontal="center" vertical="top" wrapText="1"/>
    </xf>
    <xf numFmtId="49" fontId="4" fillId="10" borderId="0" xfId="1" applyNumberFormat="1" applyFont="1" applyFill="1" applyAlignment="1">
      <alignment horizontal="center" vertical="center"/>
    </xf>
    <xf numFmtId="49" fontId="4" fillId="11" borderId="0" xfId="1" applyNumberFormat="1" applyFont="1" applyFill="1" applyAlignment="1">
      <alignment horizontal="center" vertical="center"/>
    </xf>
    <xf numFmtId="49" fontId="1" fillId="8" borderId="0" xfId="0" quotePrefix="1" applyNumberFormat="1" applyFont="1" applyFill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3" fillId="7" borderId="1" xfId="1" applyNumberFormat="1" applyFont="1" applyFill="1" applyBorder="1" applyAlignment="1">
      <alignment horizontal="center" vertical="center"/>
    </xf>
    <xf numFmtId="49" fontId="3" fillId="7" borderId="0" xfId="1" quotePrefix="1" applyNumberFormat="1" applyFont="1" applyFill="1" applyAlignment="1">
      <alignment horizontal="center" vertical="center"/>
    </xf>
    <xf numFmtId="49" fontId="4" fillId="7" borderId="0" xfId="1" quotePrefix="1" applyNumberFormat="1" applyFont="1" applyFill="1" applyAlignment="1">
      <alignment horizontal="center" vertical="center"/>
    </xf>
    <xf numFmtId="49" fontId="4" fillId="7" borderId="7" xfId="1" quotePrefix="1" applyNumberFormat="1" applyFont="1" applyFill="1" applyBorder="1" applyAlignment="1">
      <alignment horizontal="center" vertical="center"/>
    </xf>
    <xf numFmtId="49" fontId="3" fillId="7" borderId="1" xfId="1" quotePrefix="1" applyNumberFormat="1" applyFont="1" applyFill="1" applyBorder="1" applyAlignment="1">
      <alignment horizontal="center" vertical="center"/>
    </xf>
    <xf numFmtId="0" fontId="22" fillId="0" borderId="0" xfId="9"/>
    <xf numFmtId="49" fontId="23" fillId="0" borderId="0" xfId="0" applyNumberFormat="1" applyFont="1" applyAlignment="1">
      <alignment horizontal="center" vertical="top" wrapText="1"/>
    </xf>
    <xf numFmtId="0" fontId="0" fillId="0" borderId="0" xfId="0" quotePrefix="1" applyAlignment="1">
      <alignment horizontal="center"/>
    </xf>
    <xf numFmtId="0" fontId="24" fillId="12" borderId="0" xfId="0" applyFont="1" applyFill="1" applyAlignment="1">
      <alignment horizontal="center" vertical="center" wrapText="1"/>
    </xf>
    <xf numFmtId="0" fontId="25" fillId="12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0" fontId="27" fillId="1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8" fillId="8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0" fillId="12" borderId="10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8" fillId="0" borderId="0" xfId="3" applyFont="1" applyAlignment="1">
      <alignment horizontal="center"/>
    </xf>
    <xf numFmtId="0" fontId="9" fillId="0" borderId="0" xfId="3" applyFont="1"/>
    <xf numFmtId="0" fontId="8" fillId="0" borderId="0" xfId="3" applyFont="1" applyAlignment="1">
      <alignment horizontal="center" vertical="center"/>
    </xf>
  </cellXfs>
  <cellStyles count="10">
    <cellStyle name="ColStyle10 2" xfId="6" xr:uid="{00000000-0005-0000-0000-000006000000}"/>
    <cellStyle name="ColStyle4 2" xfId="5" xr:uid="{00000000-0005-0000-0000-000005000000}"/>
    <cellStyle name="ColStyle8" xfId="8" xr:uid="{00000000-0005-0000-0000-000008000000}"/>
    <cellStyle name="Hyperlink" xfId="9" builtinId="8"/>
    <cellStyle name="Normal" xfId="0" builtinId="0"/>
    <cellStyle name="Normal 2" xfId="3" xr:uid="{00000000-0005-0000-0000-000003000000}"/>
    <cellStyle name="Normal 3 2 2" xfId="2" xr:uid="{00000000-0005-0000-0000-000002000000}"/>
    <cellStyle name="Normal 7" xfId="1" xr:uid="{00000000-0005-0000-0000-000001000000}"/>
    <cellStyle name="Normale 2" xfId="4" xr:uid="{00000000-0005-0000-0000-000004000000}"/>
    <cellStyle name="Valore valido 2" xfId="7" xr:uid="{00000000-0005-0000-0000-000007000000}"/>
  </cellStyles>
  <dxfs count="98">
    <dxf>
      <fill>
        <patternFill>
          <bgColor rgb="FFFF8B8B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rgb="FFFF8B8B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RTER_SIGNALS_SORTER_01" displayName="SORTER_SIGNALS_SORTER_01" ref="A1:Q168">
  <tableColumns count="17">
    <tableColumn id="1" xr3:uid="{00000000-0010-0000-0000-000001000000}" name="Category"/>
    <tableColumn id="2" xr3:uid="{00000000-0010-0000-0000-000002000000}" name="Description"/>
    <tableColumn id="3" xr3:uid="{00000000-0010-0000-0000-000003000000}" name="Functional Unit"/>
    <tableColumn id="4" xr3:uid="{00000000-0010-0000-0000-000004000000}" name="Location"/>
    <tableColumn id="5" xr3:uid="{00000000-0010-0000-0000-000005000000}" name="Device"/>
    <tableColumn id="6" xr3:uid="{00000000-0010-0000-0000-000006000000}" name="diag_cabinet"/>
    <tableColumn id="7" xr3:uid="{00000000-0010-0000-0000-000007000000}" name="swp_cabinet"/>
    <tableColumn id="8" xr3:uid="{00000000-0010-0000-0000-000008000000}" name="diag_bit"/>
    <tableColumn id="9" xr3:uid="{00000000-0010-0000-0000-000009000000}" name="Data Type"/>
    <tableColumn id="10" xr3:uid="{00000000-0010-0000-0000-00000A000000}" name="Direction &lt;/&gt;"/>
    <tableColumn id="11" xr3:uid="{00000000-0010-0000-0000-00000B000000}" name="I/O Offset Byte"/>
    <tableColumn id="12" xr3:uid="{00000000-0010-0000-0000-00000C000000}" name="I/O Bit"/>
    <tableColumn id="13" xr3:uid="{00000000-0010-0000-0000-00000D000000}" name="I/O Address Side 1"/>
    <tableColumn id="14" xr3:uid="{00000000-0010-0000-0000-00000E000000}" name="I/O Address Side 2"/>
    <tableColumn id="15" xr3:uid="{00000000-0010-0000-0000-00000F000000}" name="Signal Name Side 1"/>
    <tableColumn id="16" xr3:uid="{00000000-0010-0000-0000-000010000000}" name="Expression Side 1"/>
    <tableColumn id="17" xr3:uid="{00000000-0010-0000-0000-000011000000}" name="Signal Name Side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RTER_PARAMS_SORTER_01" displayName="SORTER_PARAMS_SORTER_01" ref="AE1:AJ3">
  <tableColumns count="6">
    <tableColumn id="1" xr3:uid="{00000000-0010-0000-0100-000001000000}" name="Side"/>
    <tableColumn id="2" xr3:uid="{00000000-0010-0000-0100-000002000000}" name="Index"/>
    <tableColumn id="3" xr3:uid="{00000000-0010-0000-0100-000003000000}" name="Base Node"/>
    <tableColumn id="4" xr3:uid="{00000000-0010-0000-0100-000004000000}" name="Base Address"/>
    <tableColumn id="5" xr3:uid="{00000000-0010-0000-0100-000005000000}" name="Input Format"/>
    <tableColumn id="6" xr3:uid="{00000000-0010-0000-0100-000006000000}" name="Output Format"/>
  </tableColumns>
  <tableStyleInfo name="TableStyleMedium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RTER_EXTRA_DATA_SORTER_01" displayName="SORTER_EXTRA_DATA_SORTER_01" ref="AE5:AJ6">
  <tableColumns count="6">
    <tableColumn id="1" xr3:uid="{00000000-0010-0000-0200-000001000000}" name="AREA"/>
    <tableColumn id="2" xr3:uid="{00000000-0010-0000-0200-000002000000}" name="DOORS"/>
    <tableColumn id="3" xr3:uid="{00000000-0010-0000-0200-000003000000}" name="BREAKERS"/>
    <tableColumn id="4" xr3:uid="{00000000-0010-0000-0200-000004000000}" name="ENCODER"/>
    <tableColumn id="5" xr3:uid="{00000000-0010-0000-0200-000005000000}" name="Column1"/>
    <tableColumn id="6" xr3:uid="{00000000-0010-0000-0200-000006000000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RTER_SIGNALS_SORTER_DIAG_02" displayName="SORTER_SIGNALS_SORTER_DIAG_02" ref="A1:Q356">
  <tableColumns count="17">
    <tableColumn id="1" xr3:uid="{00000000-0010-0000-0300-000001000000}" name="Category"/>
    <tableColumn id="2" xr3:uid="{00000000-0010-0000-0300-000002000000}" name="Description"/>
    <tableColumn id="3" xr3:uid="{00000000-0010-0000-0300-000003000000}" name="Functional Unit"/>
    <tableColumn id="4" xr3:uid="{00000000-0010-0000-0300-000004000000}" name="Location"/>
    <tableColumn id="5" xr3:uid="{00000000-0010-0000-0300-000005000000}" name="Device"/>
    <tableColumn id="6" xr3:uid="{00000000-0010-0000-0300-000006000000}" name="diag_cabinet"/>
    <tableColumn id="7" xr3:uid="{00000000-0010-0000-0300-000007000000}" name="swp_cabinet"/>
    <tableColumn id="8" xr3:uid="{00000000-0010-0000-0300-000008000000}" name="diag_bit"/>
    <tableColumn id="9" xr3:uid="{00000000-0010-0000-0300-000009000000}" name="Data Type"/>
    <tableColumn id="10" xr3:uid="{00000000-0010-0000-0300-00000A000000}" name="Direction &lt;/&gt;"/>
    <tableColumn id="11" xr3:uid="{00000000-0010-0000-0300-00000B000000}" name="I/O Offset Byte"/>
    <tableColumn id="12" xr3:uid="{00000000-0010-0000-0300-00000C000000}" name="I/O Bit"/>
    <tableColumn id="13" xr3:uid="{00000000-0010-0000-0300-00000D000000}" name="I/O Address Side 1"/>
    <tableColumn id="14" xr3:uid="{00000000-0010-0000-0300-00000E000000}" name="I/O Address Side 2"/>
    <tableColumn id="15" xr3:uid="{00000000-0010-0000-0300-00000F000000}" name="Signal Name Side 1"/>
    <tableColumn id="16" xr3:uid="{00000000-0010-0000-0300-000010000000}" name="Expression Side 1"/>
    <tableColumn id="17" xr3:uid="{00000000-0010-0000-0300-000011000000}" name="Signal Name Side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RTER_PARAMS_SORTER_DIAG_02" displayName="SORTER_PARAMS_SORTER_DIAG_02" ref="AE1:AJ3">
  <tableColumns count="6">
    <tableColumn id="1" xr3:uid="{00000000-0010-0000-0400-000001000000}" name="Side"/>
    <tableColumn id="2" xr3:uid="{00000000-0010-0000-0400-000002000000}" name="Index"/>
    <tableColumn id="3" xr3:uid="{00000000-0010-0000-0400-000003000000}" name="Base Node"/>
    <tableColumn id="4" xr3:uid="{00000000-0010-0000-0400-000004000000}" name="Base Address"/>
    <tableColumn id="5" xr3:uid="{00000000-0010-0000-0400-000005000000}" name="Input Format"/>
    <tableColumn id="6" xr3:uid="{00000000-0010-0000-0400-000006000000}" name="Output Format"/>
  </tableColumns>
  <tableStyleInfo name="TableStyleMedium8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RTER_EXTRA_DATA_SORTER_DIAG_02" displayName="SORTER_EXTRA_DATA_SORTER_DIAG_02" ref="AE5:AJ6">
  <tableColumns count="6">
    <tableColumn id="1" xr3:uid="{00000000-0010-0000-0500-000001000000}" name="AREA"/>
    <tableColumn id="2" xr3:uid="{00000000-0010-0000-0500-000002000000}" name="DOORS"/>
    <tableColumn id="3" xr3:uid="{00000000-0010-0000-0500-000003000000}" name="BREAKERS"/>
    <tableColumn id="4" xr3:uid="{00000000-0010-0000-0500-000004000000}" name="ENCODER"/>
    <tableColumn id="5" xr3:uid="{00000000-0010-0000-0500-000005000000}" name="Column1"/>
    <tableColumn id="6" xr3:uid="{00000000-0010-0000-0500-000006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7"/>
  <sheetViews>
    <sheetView topLeftCell="D22" zoomScale="61" workbookViewId="0">
      <selection activeCell="C8" sqref="C8"/>
    </sheetView>
  </sheetViews>
  <sheetFormatPr defaultColWidth="9.140625" defaultRowHeight="12.75" x14ac:dyDescent="0.2"/>
  <cols>
    <col min="1" max="1" width="5.85546875" style="9" bestFit="1" customWidth="1"/>
    <col min="2" max="2" width="20.5703125" style="9" customWidth="1"/>
    <col min="3" max="3" width="30.5703125" style="9" customWidth="1"/>
    <col min="4" max="4" width="56.140625" style="9" customWidth="1"/>
    <col min="5" max="5" width="50.5703125" style="9" customWidth="1"/>
    <col min="6" max="6" width="11.42578125" style="9" bestFit="1" customWidth="1"/>
    <col min="7" max="7" width="13.5703125" style="9" customWidth="1"/>
    <col min="8" max="11" width="9.140625" style="9" customWidth="1"/>
    <col min="12" max="16384" width="9.140625" style="9"/>
  </cols>
  <sheetData>
    <row r="1" spans="2:6" s="2" customFormat="1" ht="27.75" customHeight="1" x14ac:dyDescent="0.4">
      <c r="B1" s="1"/>
    </row>
    <row r="2" spans="2:6" s="2" customFormat="1" ht="27.75" customHeight="1" x14ac:dyDescent="0.35">
      <c r="B2" s="90" t="s">
        <v>445</v>
      </c>
      <c r="C2" s="89"/>
      <c r="D2" s="89"/>
      <c r="E2" s="89"/>
    </row>
    <row r="3" spans="2:6" s="2" customFormat="1" ht="27.75" customHeight="1" x14ac:dyDescent="0.4">
      <c r="B3" s="88" t="s">
        <v>446</v>
      </c>
      <c r="C3" s="89"/>
      <c r="D3" s="89"/>
      <c r="E3" s="89"/>
    </row>
    <row r="4" spans="2:6" s="2" customFormat="1" ht="27.75" customHeight="1" x14ac:dyDescent="0.4">
      <c r="B4" s="88"/>
      <c r="C4" s="89"/>
      <c r="D4" s="89"/>
      <c r="E4" s="89"/>
    </row>
    <row r="5" spans="2:6" s="2" customFormat="1" ht="27.75" customHeight="1" x14ac:dyDescent="0.4">
      <c r="B5" s="1"/>
    </row>
    <row r="6" spans="2:6" s="4" customFormat="1" ht="24.75" customHeight="1" x14ac:dyDescent="0.25">
      <c r="B6" s="59" t="s">
        <v>447</v>
      </c>
      <c r="C6" s="60" t="s">
        <v>448</v>
      </c>
      <c r="D6" s="61" t="s">
        <v>449</v>
      </c>
      <c r="E6" s="62" t="s">
        <v>450</v>
      </c>
      <c r="F6" s="3"/>
    </row>
    <row r="7" spans="2:6" x14ac:dyDescent="0.2">
      <c r="B7" s="5" t="s">
        <v>451</v>
      </c>
      <c r="C7" s="6" t="s">
        <v>452</v>
      </c>
      <c r="D7" s="7" t="s">
        <v>453</v>
      </c>
      <c r="E7" s="8" t="s">
        <v>454</v>
      </c>
    </row>
    <row r="8" spans="2:6" ht="15" customHeight="1" x14ac:dyDescent="0.2"/>
    <row r="9" spans="2:6" x14ac:dyDescent="0.2">
      <c r="B9" s="10"/>
      <c r="C9" s="7"/>
      <c r="D9" s="7"/>
      <c r="E9" s="11"/>
    </row>
    <row r="10" spans="2:6" x14ac:dyDescent="0.2">
      <c r="B10" s="10"/>
      <c r="C10" s="6"/>
      <c r="D10" s="7"/>
      <c r="E10" s="11"/>
    </row>
    <row r="11" spans="2:6" x14ac:dyDescent="0.2">
      <c r="B11" s="10"/>
      <c r="C11" s="6"/>
      <c r="D11" s="6"/>
      <c r="E11" s="11"/>
    </row>
    <row r="12" spans="2:6" x14ac:dyDescent="0.2">
      <c r="B12" s="10"/>
      <c r="C12" s="6"/>
      <c r="D12" s="6"/>
      <c r="E12" s="11"/>
    </row>
    <row r="13" spans="2:6" x14ac:dyDescent="0.2">
      <c r="B13" s="10"/>
      <c r="C13" s="6"/>
      <c r="D13" s="6"/>
      <c r="E13" s="11"/>
    </row>
    <row r="14" spans="2:6" x14ac:dyDescent="0.2">
      <c r="B14" s="10"/>
      <c r="C14" s="6"/>
      <c r="D14" s="6"/>
      <c r="E14" s="11"/>
    </row>
    <row r="15" spans="2:6" x14ac:dyDescent="0.2">
      <c r="B15" s="10"/>
      <c r="C15" s="6"/>
      <c r="D15" s="6"/>
      <c r="E15" s="11"/>
    </row>
    <row r="16" spans="2:6" x14ac:dyDescent="0.2">
      <c r="B16" s="10"/>
      <c r="C16" s="6"/>
      <c r="D16" s="6"/>
      <c r="E16" s="11"/>
    </row>
    <row r="17" spans="2:5" x14ac:dyDescent="0.2">
      <c r="B17" s="10"/>
      <c r="C17" s="6"/>
      <c r="D17" s="6"/>
      <c r="E17" s="11"/>
    </row>
    <row r="18" spans="2:5" x14ac:dyDescent="0.2">
      <c r="B18" s="10"/>
      <c r="C18" s="6"/>
      <c r="D18" s="6"/>
      <c r="E18" s="11"/>
    </row>
    <row r="19" spans="2:5" x14ac:dyDescent="0.2">
      <c r="B19" s="10"/>
      <c r="C19" s="6"/>
      <c r="D19" s="6"/>
      <c r="E19" s="11"/>
    </row>
    <row r="20" spans="2:5" x14ac:dyDescent="0.2">
      <c r="B20" s="10"/>
      <c r="C20" s="6"/>
      <c r="D20" s="6"/>
      <c r="E20" s="11"/>
    </row>
    <row r="21" spans="2:5" x14ac:dyDescent="0.2">
      <c r="B21" s="10"/>
      <c r="C21" s="6"/>
      <c r="D21" s="6"/>
      <c r="E21" s="11"/>
    </row>
    <row r="22" spans="2:5" x14ac:dyDescent="0.2">
      <c r="B22" s="10"/>
      <c r="C22" s="6"/>
      <c r="D22" s="6"/>
      <c r="E22" s="11"/>
    </row>
    <row r="23" spans="2:5" x14ac:dyDescent="0.2">
      <c r="B23" s="10"/>
      <c r="C23" s="6"/>
      <c r="D23" s="6"/>
      <c r="E23" s="11"/>
    </row>
    <row r="24" spans="2:5" x14ac:dyDescent="0.2">
      <c r="B24" s="10"/>
      <c r="C24" s="6"/>
      <c r="D24" s="6"/>
      <c r="E24" s="11"/>
    </row>
    <row r="25" spans="2:5" x14ac:dyDescent="0.2">
      <c r="B25" s="5"/>
      <c r="C25" s="6"/>
      <c r="D25" s="6"/>
      <c r="E25" s="8"/>
    </row>
    <row r="26" spans="2:5" x14ac:dyDescent="0.2">
      <c r="B26" s="10"/>
      <c r="C26" s="6"/>
      <c r="D26" s="6"/>
      <c r="E26" s="11"/>
    </row>
    <row r="27" spans="2:5" x14ac:dyDescent="0.2">
      <c r="B27" s="10"/>
      <c r="C27" s="6"/>
      <c r="D27" s="6"/>
      <c r="E27" s="11"/>
    </row>
    <row r="28" spans="2:5" x14ac:dyDescent="0.2">
      <c r="B28" s="10"/>
      <c r="C28" s="6"/>
      <c r="D28" s="6"/>
      <c r="E28" s="11"/>
    </row>
    <row r="29" spans="2:5" x14ac:dyDescent="0.2">
      <c r="B29" s="5"/>
      <c r="C29" s="6"/>
      <c r="D29" s="6"/>
      <c r="E29" s="8"/>
    </row>
    <row r="30" spans="2:5" x14ac:dyDescent="0.2">
      <c r="B30" s="10"/>
      <c r="C30" s="6"/>
      <c r="D30" s="6"/>
      <c r="E30" s="11"/>
    </row>
    <row r="31" spans="2:5" x14ac:dyDescent="0.2">
      <c r="B31" s="10"/>
      <c r="C31" s="6"/>
      <c r="D31" s="6"/>
      <c r="E31" s="11"/>
    </row>
    <row r="32" spans="2:5" x14ac:dyDescent="0.2">
      <c r="B32" s="10"/>
      <c r="C32" s="6"/>
      <c r="D32" s="6"/>
      <c r="E32" s="11"/>
    </row>
    <row r="33" spans="1:5" x14ac:dyDescent="0.2">
      <c r="B33" s="12"/>
      <c r="C33" s="13"/>
      <c r="D33" s="13"/>
      <c r="E33" s="14"/>
    </row>
    <row r="34" spans="1:5" x14ac:dyDescent="0.2">
      <c r="C34" s="15"/>
      <c r="D34" s="15"/>
    </row>
    <row r="36" spans="1:5" x14ac:dyDescent="0.2">
      <c r="A36" s="16"/>
    </row>
    <row r="55" spans="3:3" x14ac:dyDescent="0.2">
      <c r="C55" s="27"/>
    </row>
    <row r="56" spans="3:3" x14ac:dyDescent="0.2">
      <c r="C56" s="27"/>
    </row>
    <row r="57" spans="3:3" x14ac:dyDescent="0.2">
      <c r="C57" s="27"/>
    </row>
  </sheetData>
  <mergeCells count="3">
    <mergeCell ref="B3:E3"/>
    <mergeCell ref="B2:E2"/>
    <mergeCell ref="B4:E4"/>
  </mergeCells>
  <pageMargins left="0.7" right="0.7" top="0.75" bottom="0.75" header="0.3" footer="0.3"/>
  <pageSetup paperSize="9" scale="95" orientation="portrait"/>
  <headerFooter>
    <oddHeader>&amp;L&amp;"Calibri"&amp;1 &amp;K000000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H145"/>
  <sheetViews>
    <sheetView topLeftCell="N1" zoomScale="85" zoomScaleNormal="100" workbookViewId="0">
      <selection activeCell="AH43" sqref="AH43"/>
    </sheetView>
  </sheetViews>
  <sheetFormatPr defaultColWidth="25.140625" defaultRowHeight="15" outlineLevelCol="1" x14ac:dyDescent="0.25"/>
  <cols>
    <col min="1" max="1" width="61.42578125" bestFit="1" customWidth="1"/>
    <col min="2" max="2" width="17.42578125" customWidth="1"/>
    <col min="3" max="3" width="24.5703125" bestFit="1" customWidth="1"/>
    <col min="4" max="4" width="13.5703125" bestFit="1" customWidth="1"/>
    <col min="5" max="5" width="12.28515625" bestFit="1" customWidth="1"/>
    <col min="6" max="6" width="10.140625" bestFit="1" customWidth="1"/>
    <col min="7" max="7" width="8.85546875" customWidth="1"/>
    <col min="8" max="8" width="17.42578125" bestFit="1" customWidth="1"/>
    <col min="9" max="9" width="18.5703125" bestFit="1" customWidth="1"/>
    <col min="10" max="10" width="11.5703125" bestFit="1" customWidth="1"/>
    <col min="11" max="11" width="52.140625" bestFit="1" customWidth="1"/>
    <col min="12" max="12" width="47.42578125" customWidth="1"/>
    <col min="13" max="13" width="32.85546875" customWidth="1" outlineLevel="1"/>
    <col min="14" max="14" width="31.140625" customWidth="1" outlineLevel="1"/>
    <col min="15" max="15" width="14.7109375" bestFit="1" customWidth="1"/>
    <col min="16" max="16" width="14.28515625" bestFit="1" customWidth="1"/>
    <col min="17" max="17" width="15" bestFit="1" customWidth="1"/>
    <col min="18" max="18" width="10.42578125" customWidth="1"/>
    <col min="19" max="19" width="17.42578125" customWidth="1"/>
    <col min="20" max="20" width="15.28515625" customWidth="1"/>
    <col min="21" max="21" width="12" customWidth="1"/>
    <col min="22" max="22" width="16.42578125" customWidth="1"/>
    <col min="23" max="23" width="23.7109375" customWidth="1"/>
    <col min="24" max="24" width="18.5703125" customWidth="1"/>
    <col min="25" max="25" width="9.5703125" customWidth="1"/>
    <col min="26" max="26" width="7.5703125" customWidth="1"/>
    <col min="27" max="27" width="7.28515625" customWidth="1"/>
    <col min="28" max="28" width="13.85546875" customWidth="1"/>
    <col min="29" max="29" width="8.28515625" customWidth="1"/>
    <col min="30" max="30" width="16.42578125" customWidth="1"/>
    <col min="31" max="31" width="8" customWidth="1"/>
    <col min="32" max="32" width="5.7109375" customWidth="1"/>
    <col min="33" max="33" width="17.28515625" customWidth="1"/>
    <col min="34" max="34" width="11.42578125" customWidth="1"/>
    <col min="36" max="36" width="53.5703125" customWidth="1"/>
    <col min="37" max="39" width="8.28515625" customWidth="1"/>
  </cols>
  <sheetData>
    <row r="1" spans="1:34" ht="36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52" t="s">
        <v>26</v>
      </c>
      <c r="AB1" s="44" t="s">
        <v>27</v>
      </c>
      <c r="AC1" s="47" t="s">
        <v>28</v>
      </c>
      <c r="AD1" s="50" t="s">
        <v>29</v>
      </c>
      <c r="AE1" s="24" t="s">
        <v>30</v>
      </c>
      <c r="AF1" s="24" t="s">
        <v>31</v>
      </c>
      <c r="AG1" s="63" t="s">
        <v>32</v>
      </c>
      <c r="AH1" s="74" t="s">
        <v>33</v>
      </c>
    </row>
    <row r="2" spans="1:34" x14ac:dyDescent="0.25">
      <c r="A2" s="17"/>
      <c r="B2" s="17"/>
      <c r="C2" s="17"/>
      <c r="D2" s="17"/>
      <c r="E2" s="17"/>
      <c r="F2" s="17" t="s">
        <v>455</v>
      </c>
      <c r="G2" s="17"/>
      <c r="H2" s="17"/>
      <c r="I2" s="17"/>
      <c r="J2" s="17"/>
      <c r="K2" s="17" t="s">
        <v>35</v>
      </c>
      <c r="L2" s="17"/>
      <c r="M2" s="17"/>
      <c r="N2" s="17"/>
      <c r="O2" s="17"/>
      <c r="P2" s="17"/>
      <c r="Q2" s="17"/>
      <c r="R2" s="17"/>
      <c r="S2" s="17" t="s">
        <v>36</v>
      </c>
      <c r="T2" s="17"/>
      <c r="U2" s="17"/>
      <c r="V2" s="17" t="s">
        <v>37</v>
      </c>
      <c r="W2" s="17"/>
      <c r="X2" s="17"/>
      <c r="Y2" s="17"/>
      <c r="Z2" s="17"/>
      <c r="AA2" s="54"/>
      <c r="AB2" s="45"/>
      <c r="AC2" s="48"/>
      <c r="AD2" s="51"/>
      <c r="AE2" s="42"/>
      <c r="AF2" s="51"/>
    </row>
    <row r="3" spans="1:34" x14ac:dyDescent="0.25">
      <c r="A3" s="18" t="s">
        <v>456</v>
      </c>
      <c r="B3" s="18" t="s">
        <v>39</v>
      </c>
      <c r="C3" s="18" t="s">
        <v>457</v>
      </c>
      <c r="D3" s="18" t="s">
        <v>458</v>
      </c>
      <c r="E3" s="18" t="s">
        <v>41</v>
      </c>
      <c r="F3" s="18">
        <v>1</v>
      </c>
      <c r="G3" s="18"/>
      <c r="H3" s="18"/>
      <c r="I3" s="18" t="s">
        <v>42</v>
      </c>
      <c r="J3" s="18"/>
      <c r="K3" s="18" t="s">
        <v>43</v>
      </c>
      <c r="L3" s="18"/>
      <c r="M3" s="18" t="s">
        <v>44</v>
      </c>
      <c r="N3" s="18"/>
      <c r="O3" s="30" t="s">
        <v>459</v>
      </c>
      <c r="P3" s="18" t="s">
        <v>460</v>
      </c>
      <c r="Q3" s="30" t="s">
        <v>41</v>
      </c>
      <c r="R3" s="18"/>
      <c r="S3" s="18" t="s">
        <v>36</v>
      </c>
      <c r="T3" s="18" t="s">
        <v>47</v>
      </c>
      <c r="U3" s="18" t="s">
        <v>48</v>
      </c>
      <c r="V3" s="18" t="str">
        <f>$V$2&amp;$F$2&amp;"."&amp;F3</f>
        <v>192.168.50.1</v>
      </c>
      <c r="W3" s="18" t="str">
        <f>LOWER("N"&amp;TEXT(F3,"0000")&amp;"-"&amp;SUBSTITUTE(MID(P3,2,20)&amp;Q3,".","-"))</f>
        <v>n0001-mc1-cc1-k65501</v>
      </c>
      <c r="X3" s="25" t="s">
        <v>461</v>
      </c>
      <c r="Y3" s="18"/>
      <c r="Z3" s="18"/>
      <c r="AA3" s="54"/>
      <c r="AB3" s="45"/>
      <c r="AC3" s="49"/>
      <c r="AD3" s="55"/>
      <c r="AE3" s="42"/>
      <c r="AF3" s="51"/>
    </row>
    <row r="4" spans="1:34" x14ac:dyDescent="0.25">
      <c r="A4" s="18" t="s">
        <v>462</v>
      </c>
      <c r="B4" s="18" t="s">
        <v>39</v>
      </c>
      <c r="C4" s="18" t="s">
        <v>457</v>
      </c>
      <c r="D4" s="18" t="s">
        <v>458</v>
      </c>
      <c r="E4" s="18" t="s">
        <v>50</v>
      </c>
      <c r="F4" s="18">
        <v>1</v>
      </c>
      <c r="G4" s="18"/>
      <c r="H4" s="18"/>
      <c r="I4" s="18" t="s">
        <v>42</v>
      </c>
      <c r="J4" s="18"/>
      <c r="K4" s="18" t="s">
        <v>43</v>
      </c>
      <c r="L4" s="18"/>
      <c r="M4" s="18" t="s">
        <v>44</v>
      </c>
      <c r="N4" s="18"/>
      <c r="O4" s="30" t="s">
        <v>459</v>
      </c>
      <c r="P4" s="18" t="s">
        <v>460</v>
      </c>
      <c r="Q4" s="30" t="s">
        <v>50</v>
      </c>
      <c r="R4" s="18"/>
      <c r="S4" s="18" t="s">
        <v>36</v>
      </c>
      <c r="T4" s="18" t="s">
        <v>51</v>
      </c>
      <c r="U4" s="18" t="s">
        <v>48</v>
      </c>
      <c r="V4" s="18" t="str">
        <f>$V$2&amp;$F$2&amp;"."&amp;F4</f>
        <v>192.168.50.1</v>
      </c>
      <c r="W4" s="18" t="str">
        <f>LOWER("N"&amp;TEXT(F4,"0000")&amp;"-"&amp;SUBSTITUTE(MID(P4,2,20)&amp;Q4,".","-"))</f>
        <v>n0001-mc1-cc1-k65502</v>
      </c>
      <c r="X4" s="25" t="s">
        <v>52</v>
      </c>
      <c r="Y4" s="18"/>
      <c r="Z4" s="18"/>
      <c r="AA4" s="54"/>
      <c r="AB4" s="45"/>
      <c r="AC4" s="49"/>
      <c r="AD4" s="51"/>
      <c r="AE4" s="42"/>
      <c r="AF4" s="51"/>
    </row>
    <row r="5" spans="1:34" x14ac:dyDescent="0.25">
      <c r="A5" s="18" t="s">
        <v>53</v>
      </c>
      <c r="B5" s="18" t="s">
        <v>39</v>
      </c>
      <c r="C5" s="18" t="s">
        <v>54</v>
      </c>
      <c r="D5" s="18" t="s">
        <v>55</v>
      </c>
      <c r="E5" s="18" t="s">
        <v>56</v>
      </c>
      <c r="F5" s="18" t="s">
        <v>57</v>
      </c>
      <c r="G5" s="18"/>
      <c r="H5" s="18"/>
      <c r="I5" s="18"/>
      <c r="J5" s="18"/>
      <c r="K5" s="18" t="s">
        <v>58</v>
      </c>
      <c r="L5" s="18"/>
      <c r="M5" s="18" t="s">
        <v>59</v>
      </c>
      <c r="N5" s="18"/>
      <c r="O5" s="30" t="s">
        <v>459</v>
      </c>
      <c r="P5" s="18" t="s">
        <v>460</v>
      </c>
      <c r="Q5" s="30" t="s">
        <v>56</v>
      </c>
      <c r="R5" s="18" t="s">
        <v>60</v>
      </c>
      <c r="S5" s="18" t="s">
        <v>36</v>
      </c>
      <c r="T5" s="18" t="s">
        <v>61</v>
      </c>
      <c r="U5" s="18" t="s">
        <v>48</v>
      </c>
      <c r="V5" s="18" t="str">
        <f>$V$2&amp;$F$2&amp;"."&amp;F5</f>
        <v>192.168.50.10</v>
      </c>
      <c r="W5" s="18" t="str">
        <f>LOWER("N"&amp;TEXT(F5,"0000")&amp;"-"&amp;SUBSTITUTE(MID(P5,2,20)&amp;Q5,".","-"))</f>
        <v>n0010-mc1-cc1-k66001</v>
      </c>
      <c r="X5" s="25"/>
      <c r="Y5" s="18"/>
      <c r="Z5" s="18"/>
      <c r="AA5" s="54"/>
      <c r="AB5" s="45" t="s">
        <v>60</v>
      </c>
      <c r="AC5" s="49" t="s">
        <v>60</v>
      </c>
      <c r="AD5" s="55" t="s">
        <v>207</v>
      </c>
      <c r="AE5" s="42" t="s">
        <v>463</v>
      </c>
      <c r="AF5" s="55" t="s">
        <v>77</v>
      </c>
    </row>
    <row r="6" spans="1:34" x14ac:dyDescent="0.25">
      <c r="A6" s="25" t="s">
        <v>464</v>
      </c>
      <c r="B6" s="25" t="s">
        <v>39</v>
      </c>
      <c r="C6" s="25" t="s">
        <v>465</v>
      </c>
      <c r="D6" s="25" t="s">
        <v>466</v>
      </c>
      <c r="E6" s="25" t="s">
        <v>467</v>
      </c>
      <c r="F6" s="25" t="s">
        <v>94</v>
      </c>
      <c r="G6" s="26"/>
      <c r="H6" s="25"/>
      <c r="I6" s="18" t="s">
        <v>42</v>
      </c>
      <c r="J6" s="25"/>
      <c r="K6" s="25" t="s">
        <v>468</v>
      </c>
      <c r="L6" s="25"/>
      <c r="M6" s="25"/>
      <c r="N6" s="25"/>
      <c r="O6" s="26" t="s">
        <v>459</v>
      </c>
      <c r="P6" s="25" t="s">
        <v>460</v>
      </c>
      <c r="Q6" s="26" t="s">
        <v>467</v>
      </c>
      <c r="R6" s="25" t="s">
        <v>72</v>
      </c>
      <c r="S6" s="25" t="s">
        <v>36</v>
      </c>
      <c r="T6" s="25" t="s">
        <v>469</v>
      </c>
      <c r="U6" s="25" t="s">
        <v>48</v>
      </c>
      <c r="V6" s="18" t="str">
        <f>$V$2&amp;$F$2&amp;"."&amp;F6</f>
        <v>192.168.50.6</v>
      </c>
      <c r="W6" s="25" t="str">
        <f>LOWER("N"&amp;TEXT(F6,"0000")&amp;"-"&amp;SUBSTITUTE(MID(P6,2,20)&amp;Q6,".","-"))</f>
        <v>n0006-mc1-cc1-k66201</v>
      </c>
      <c r="X6" s="25"/>
      <c r="Y6" s="25"/>
      <c r="Z6" s="25"/>
      <c r="AA6" s="54"/>
      <c r="AB6" s="45" t="s">
        <v>72</v>
      </c>
      <c r="AC6" s="49" t="s">
        <v>72</v>
      </c>
      <c r="AD6" s="55" t="s">
        <v>207</v>
      </c>
      <c r="AE6" s="42" t="s">
        <v>463</v>
      </c>
      <c r="AF6" s="55" t="s">
        <v>64</v>
      </c>
    </row>
    <row r="7" spans="1:34" x14ac:dyDescent="0.25">
      <c r="A7" s="35"/>
      <c r="B7" s="35"/>
      <c r="C7" s="35"/>
      <c r="D7" s="20"/>
      <c r="E7" s="20"/>
      <c r="F7" s="20"/>
      <c r="G7" s="20" t="s">
        <v>470</v>
      </c>
      <c r="H7" s="20"/>
      <c r="I7" s="20"/>
      <c r="J7" s="20"/>
      <c r="K7" s="20" t="s">
        <v>471</v>
      </c>
      <c r="L7" s="20"/>
      <c r="M7" s="20"/>
      <c r="N7" s="20"/>
      <c r="O7" s="28" t="s">
        <v>459</v>
      </c>
      <c r="P7" s="28" t="s">
        <v>460</v>
      </c>
      <c r="Q7" s="20" t="s">
        <v>467</v>
      </c>
      <c r="R7" s="20"/>
      <c r="S7" s="20" t="s">
        <v>36</v>
      </c>
      <c r="T7" s="20"/>
      <c r="U7" s="20"/>
      <c r="V7" s="20"/>
      <c r="W7" s="20"/>
      <c r="X7" s="20"/>
      <c r="Y7" s="20"/>
      <c r="Z7" s="20"/>
      <c r="AA7" s="54"/>
      <c r="AB7" s="45" t="s">
        <v>472</v>
      </c>
      <c r="AC7" s="49"/>
      <c r="AD7" s="51" t="s">
        <v>473</v>
      </c>
      <c r="AE7" s="42"/>
      <c r="AF7" s="51"/>
    </row>
    <row r="8" spans="1:34" x14ac:dyDescent="0.25">
      <c r="A8" s="35"/>
      <c r="B8" s="35"/>
      <c r="C8" s="35"/>
      <c r="D8" s="20"/>
      <c r="E8" s="20"/>
      <c r="F8" s="20"/>
      <c r="G8" s="20" t="s">
        <v>474</v>
      </c>
      <c r="H8" s="20"/>
      <c r="I8" s="20"/>
      <c r="J8" s="20"/>
      <c r="K8" s="20" t="s">
        <v>471</v>
      </c>
      <c r="L8" s="20"/>
      <c r="M8" s="20"/>
      <c r="N8" s="20"/>
      <c r="O8" s="28" t="s">
        <v>459</v>
      </c>
      <c r="P8" s="28" t="s">
        <v>460</v>
      </c>
      <c r="Q8" s="20" t="s">
        <v>467</v>
      </c>
      <c r="R8" s="20"/>
      <c r="S8" s="20" t="s">
        <v>36</v>
      </c>
      <c r="T8" s="20"/>
      <c r="U8" s="20"/>
      <c r="V8" s="20"/>
      <c r="W8" s="20"/>
      <c r="X8" s="20"/>
      <c r="Y8" s="20"/>
      <c r="Z8" s="20"/>
      <c r="AA8" s="54"/>
      <c r="AB8" s="45" t="s">
        <v>472</v>
      </c>
      <c r="AC8" s="49"/>
      <c r="AD8" s="51" t="s">
        <v>475</v>
      </c>
      <c r="AE8" s="42"/>
      <c r="AF8" s="51"/>
    </row>
    <row r="9" spans="1:34" x14ac:dyDescent="0.25">
      <c r="A9" s="18" t="s">
        <v>65</v>
      </c>
      <c r="B9" s="32" t="s">
        <v>39</v>
      </c>
      <c r="C9" s="18" t="s">
        <v>66</v>
      </c>
      <c r="D9" s="32" t="s">
        <v>67</v>
      </c>
      <c r="E9" s="32" t="s">
        <v>68</v>
      </c>
      <c r="F9" s="32" t="s">
        <v>69</v>
      </c>
      <c r="G9" s="32"/>
      <c r="H9" s="32"/>
      <c r="I9" s="18" t="s">
        <v>42</v>
      </c>
      <c r="J9" s="32"/>
      <c r="K9" s="32" t="s">
        <v>70</v>
      </c>
      <c r="L9" s="32"/>
      <c r="M9" s="32"/>
      <c r="N9" s="32"/>
      <c r="O9" s="33" t="s">
        <v>459</v>
      </c>
      <c r="P9" s="33" t="s">
        <v>476</v>
      </c>
      <c r="Q9" s="33" t="s">
        <v>68</v>
      </c>
      <c r="R9" s="32" t="s">
        <v>72</v>
      </c>
      <c r="S9" s="32" t="s">
        <v>73</v>
      </c>
      <c r="T9" s="32" t="s">
        <v>74</v>
      </c>
      <c r="U9" s="32" t="s">
        <v>48</v>
      </c>
      <c r="V9" s="18" t="str">
        <f>$V$2&amp;$F$2&amp;"."&amp;F9</f>
        <v>192.168.50.5</v>
      </c>
      <c r="W9" s="32" t="str">
        <f>LOWER("N"&amp;TEXT(F9,"0000")&amp;"-"&amp;SUBSTITUTE(MID(P9,2,20)&amp;Q9,".","-"))</f>
        <v>n0005-ms1-cc1-k65001</v>
      </c>
      <c r="X9" s="32"/>
      <c r="Y9" s="32"/>
      <c r="Z9" s="32"/>
      <c r="AA9" s="54"/>
      <c r="AB9" s="45" t="s">
        <v>72</v>
      </c>
      <c r="AC9" s="49" t="s">
        <v>72</v>
      </c>
      <c r="AD9" s="51" t="s">
        <v>62</v>
      </c>
      <c r="AE9" s="42" t="s">
        <v>477</v>
      </c>
      <c r="AF9" s="55" t="s">
        <v>77</v>
      </c>
    </row>
    <row r="10" spans="1:34" x14ac:dyDescent="0.25">
      <c r="A10" s="35" t="s">
        <v>78</v>
      </c>
      <c r="B10" s="35" t="s">
        <v>39</v>
      </c>
      <c r="C10" s="35" t="s">
        <v>79</v>
      </c>
      <c r="D10" s="20" t="s">
        <v>80</v>
      </c>
      <c r="E10" s="20" t="s">
        <v>81</v>
      </c>
      <c r="F10" s="20"/>
      <c r="G10" s="20" t="s">
        <v>478</v>
      </c>
      <c r="H10" s="20"/>
      <c r="I10" s="20"/>
      <c r="J10" s="20" t="s">
        <v>83</v>
      </c>
      <c r="K10" s="20"/>
      <c r="L10" s="20"/>
      <c r="M10" s="20"/>
      <c r="N10" s="20"/>
      <c r="O10" s="28" t="s">
        <v>459</v>
      </c>
      <c r="P10" s="28" t="s">
        <v>476</v>
      </c>
      <c r="Q10" s="20"/>
      <c r="R10" s="20"/>
      <c r="S10" s="20" t="s">
        <v>73</v>
      </c>
      <c r="T10" s="20" t="s">
        <v>84</v>
      </c>
      <c r="U10" s="20"/>
      <c r="V10" s="20"/>
      <c r="W10" s="20"/>
      <c r="X10" s="20"/>
      <c r="Y10" s="20"/>
      <c r="Z10" s="20"/>
      <c r="AA10" s="54"/>
      <c r="AB10" s="45"/>
      <c r="AC10" s="49"/>
      <c r="AD10" s="51"/>
      <c r="AE10" s="42"/>
      <c r="AF10" s="51"/>
      <c r="AG10" t="s">
        <v>85</v>
      </c>
    </row>
    <row r="11" spans="1:34" x14ac:dyDescent="0.25">
      <c r="A11" s="35" t="s">
        <v>78</v>
      </c>
      <c r="B11" s="35" t="s">
        <v>39</v>
      </c>
      <c r="C11" s="35" t="s">
        <v>79</v>
      </c>
      <c r="D11" s="20" t="s">
        <v>80</v>
      </c>
      <c r="E11" s="20" t="s">
        <v>81</v>
      </c>
      <c r="F11" s="20"/>
      <c r="G11" s="20" t="s">
        <v>479</v>
      </c>
      <c r="H11" s="20"/>
      <c r="I11" s="20"/>
      <c r="J11" s="20" t="s">
        <v>87</v>
      </c>
      <c r="K11" s="20"/>
      <c r="L11" s="20"/>
      <c r="M11" s="20"/>
      <c r="N11" s="20"/>
      <c r="O11" s="28" t="s">
        <v>459</v>
      </c>
      <c r="P11" s="28" t="s">
        <v>476</v>
      </c>
      <c r="Q11" s="20"/>
      <c r="R11" s="20"/>
      <c r="S11" s="20" t="s">
        <v>73</v>
      </c>
      <c r="T11" s="20" t="s">
        <v>84</v>
      </c>
      <c r="U11" s="20"/>
      <c r="V11" s="20"/>
      <c r="W11" s="20"/>
      <c r="X11" s="20"/>
      <c r="Y11" s="20"/>
      <c r="Z11" s="20"/>
      <c r="AA11" s="54"/>
      <c r="AB11" s="45"/>
      <c r="AC11" s="49"/>
      <c r="AD11" s="51"/>
      <c r="AE11" s="42"/>
      <c r="AF11" s="51"/>
    </row>
    <row r="12" spans="1:34" x14ac:dyDescent="0.25">
      <c r="A12" s="35" t="s">
        <v>78</v>
      </c>
      <c r="B12" s="35" t="s">
        <v>39</v>
      </c>
      <c r="C12" s="35" t="s">
        <v>79</v>
      </c>
      <c r="D12" s="20" t="s">
        <v>80</v>
      </c>
      <c r="E12" s="20" t="s">
        <v>81</v>
      </c>
      <c r="F12" s="20"/>
      <c r="G12" s="20" t="s">
        <v>480</v>
      </c>
      <c r="H12" s="20"/>
      <c r="I12" s="20"/>
      <c r="J12" s="20" t="s">
        <v>89</v>
      </c>
      <c r="K12" s="20"/>
      <c r="L12" s="20"/>
      <c r="M12" s="20"/>
      <c r="N12" s="20"/>
      <c r="O12" s="28" t="s">
        <v>459</v>
      </c>
      <c r="P12" s="28" t="s">
        <v>476</v>
      </c>
      <c r="Q12" s="20"/>
      <c r="R12" s="20"/>
      <c r="S12" s="20" t="s">
        <v>73</v>
      </c>
      <c r="T12" s="20" t="s">
        <v>84</v>
      </c>
      <c r="U12" s="20"/>
      <c r="V12" s="20"/>
      <c r="W12" s="20"/>
      <c r="X12" s="20"/>
      <c r="Y12" s="20"/>
      <c r="Z12" s="20"/>
      <c r="AA12" s="54"/>
      <c r="AB12" s="45"/>
      <c r="AC12" s="49"/>
      <c r="AD12" s="51"/>
      <c r="AE12" s="42"/>
      <c r="AF12" s="51"/>
    </row>
    <row r="13" spans="1:34" x14ac:dyDescent="0.25">
      <c r="A13" s="35" t="s">
        <v>78</v>
      </c>
      <c r="B13" s="35" t="s">
        <v>39</v>
      </c>
      <c r="C13" s="35" t="s">
        <v>79</v>
      </c>
      <c r="D13" s="20" t="s">
        <v>80</v>
      </c>
      <c r="E13" s="20" t="s">
        <v>81</v>
      </c>
      <c r="F13" s="20"/>
      <c r="G13" s="20" t="s">
        <v>481</v>
      </c>
      <c r="H13" s="20"/>
      <c r="I13" s="20"/>
      <c r="J13" s="20" t="s">
        <v>91</v>
      </c>
      <c r="K13" s="20"/>
      <c r="L13" s="20"/>
      <c r="M13" s="20"/>
      <c r="N13" s="20"/>
      <c r="O13" s="28" t="s">
        <v>459</v>
      </c>
      <c r="P13" s="28" t="s">
        <v>476</v>
      </c>
      <c r="Q13" s="20"/>
      <c r="R13" s="20"/>
      <c r="S13" s="20" t="s">
        <v>73</v>
      </c>
      <c r="T13" s="20" t="s">
        <v>84</v>
      </c>
      <c r="U13" s="20"/>
      <c r="V13" s="20"/>
      <c r="W13" s="20"/>
      <c r="X13" s="20"/>
      <c r="Y13" s="20"/>
      <c r="Z13" s="20"/>
      <c r="AA13" s="54"/>
      <c r="AB13" s="45"/>
      <c r="AC13" s="49"/>
      <c r="AD13" s="51"/>
      <c r="AE13" s="42"/>
      <c r="AF13" s="51"/>
    </row>
    <row r="14" spans="1:34" x14ac:dyDescent="0.25">
      <c r="A14" s="35" t="s">
        <v>78</v>
      </c>
      <c r="B14" s="35" t="s">
        <v>39</v>
      </c>
      <c r="C14" s="35" t="s">
        <v>79</v>
      </c>
      <c r="D14" s="20" t="s">
        <v>80</v>
      </c>
      <c r="E14" s="20" t="s">
        <v>81</v>
      </c>
      <c r="F14" s="20"/>
      <c r="G14" s="20" t="s">
        <v>482</v>
      </c>
      <c r="H14" s="20"/>
      <c r="I14" s="20"/>
      <c r="J14" s="20" t="s">
        <v>69</v>
      </c>
      <c r="K14" s="20"/>
      <c r="L14" s="20"/>
      <c r="M14" s="20"/>
      <c r="N14" s="20"/>
      <c r="O14" s="28" t="s">
        <v>459</v>
      </c>
      <c r="P14" s="28" t="s">
        <v>476</v>
      </c>
      <c r="Q14" s="20"/>
      <c r="R14" s="20"/>
      <c r="S14" s="20" t="s">
        <v>73</v>
      </c>
      <c r="T14" s="20" t="s">
        <v>84</v>
      </c>
      <c r="U14" s="20"/>
      <c r="V14" s="20"/>
      <c r="W14" s="20"/>
      <c r="X14" s="20"/>
      <c r="Y14" s="20"/>
      <c r="Z14" s="20"/>
      <c r="AA14" s="54"/>
      <c r="AB14" s="45"/>
      <c r="AC14" s="49"/>
      <c r="AD14" s="51"/>
      <c r="AE14" s="42"/>
      <c r="AF14" s="51"/>
    </row>
    <row r="15" spans="1:34" x14ac:dyDescent="0.25">
      <c r="A15" s="35" t="s">
        <v>78</v>
      </c>
      <c r="B15" s="35" t="s">
        <v>39</v>
      </c>
      <c r="C15" s="35" t="s">
        <v>79</v>
      </c>
      <c r="D15" s="20" t="s">
        <v>80</v>
      </c>
      <c r="E15" s="20" t="s">
        <v>81</v>
      </c>
      <c r="F15" s="20"/>
      <c r="G15" s="20" t="s">
        <v>483</v>
      </c>
      <c r="H15" s="20"/>
      <c r="I15" s="20"/>
      <c r="J15" s="20" t="s">
        <v>94</v>
      </c>
      <c r="K15" s="20"/>
      <c r="L15" s="20"/>
      <c r="M15" s="20"/>
      <c r="N15" s="20"/>
      <c r="O15" s="28" t="s">
        <v>459</v>
      </c>
      <c r="P15" s="28" t="s">
        <v>476</v>
      </c>
      <c r="Q15" s="20"/>
      <c r="R15" s="20"/>
      <c r="S15" s="20" t="s">
        <v>73</v>
      </c>
      <c r="T15" s="20" t="s">
        <v>84</v>
      </c>
      <c r="U15" s="20"/>
      <c r="V15" s="20"/>
      <c r="W15" s="21"/>
      <c r="X15" s="20"/>
      <c r="Y15" s="20"/>
      <c r="Z15" s="20"/>
      <c r="AA15" s="54"/>
      <c r="AB15" s="45"/>
      <c r="AC15" s="49"/>
      <c r="AD15" s="51"/>
      <c r="AE15" s="42"/>
      <c r="AF15" s="51"/>
    </row>
    <row r="16" spans="1:34" x14ac:dyDescent="0.25">
      <c r="A16" s="35" t="s">
        <v>78</v>
      </c>
      <c r="B16" s="35" t="s">
        <v>39</v>
      </c>
      <c r="C16" s="35" t="s">
        <v>79</v>
      </c>
      <c r="D16" s="20" t="s">
        <v>80</v>
      </c>
      <c r="E16" s="20" t="s">
        <v>81</v>
      </c>
      <c r="F16" s="20"/>
      <c r="G16" s="20" t="s">
        <v>484</v>
      </c>
      <c r="H16" s="20"/>
      <c r="I16" s="20"/>
      <c r="J16" s="20" t="s">
        <v>96</v>
      </c>
      <c r="K16" s="20"/>
      <c r="L16" s="20"/>
      <c r="M16" s="20"/>
      <c r="N16" s="20"/>
      <c r="O16" s="28" t="s">
        <v>459</v>
      </c>
      <c r="P16" s="28" t="s">
        <v>476</v>
      </c>
      <c r="Q16" s="20"/>
      <c r="R16" s="20"/>
      <c r="S16" s="20" t="s">
        <v>73</v>
      </c>
      <c r="T16" s="20" t="s">
        <v>84</v>
      </c>
      <c r="U16" s="20"/>
      <c r="V16" s="20"/>
      <c r="W16" s="20"/>
      <c r="X16" s="20"/>
      <c r="Y16" s="20"/>
      <c r="Z16" s="20"/>
      <c r="AA16" s="54"/>
      <c r="AB16" s="45"/>
      <c r="AC16" s="49"/>
      <c r="AD16" s="51"/>
      <c r="AE16" s="42"/>
      <c r="AF16" s="51"/>
    </row>
    <row r="17" spans="1:32" x14ac:dyDescent="0.25">
      <c r="A17" s="35" t="s">
        <v>78</v>
      </c>
      <c r="B17" s="35" t="s">
        <v>39</v>
      </c>
      <c r="C17" s="35" t="s">
        <v>79</v>
      </c>
      <c r="D17" s="20" t="s">
        <v>80</v>
      </c>
      <c r="E17" s="20" t="s">
        <v>81</v>
      </c>
      <c r="F17" s="20"/>
      <c r="G17" s="20" t="s">
        <v>485</v>
      </c>
      <c r="H17" s="20"/>
      <c r="I17" s="20"/>
      <c r="J17" s="20" t="s">
        <v>98</v>
      </c>
      <c r="K17" s="20"/>
      <c r="L17" s="20"/>
      <c r="M17" s="20"/>
      <c r="N17" s="20"/>
      <c r="O17" s="28" t="s">
        <v>459</v>
      </c>
      <c r="P17" s="28" t="s">
        <v>476</v>
      </c>
      <c r="Q17" s="20"/>
      <c r="R17" s="20"/>
      <c r="S17" s="20" t="s">
        <v>73</v>
      </c>
      <c r="T17" s="20" t="s">
        <v>84</v>
      </c>
      <c r="U17" s="20"/>
      <c r="V17" s="20"/>
      <c r="W17" s="20"/>
      <c r="X17" s="20"/>
      <c r="Y17" s="20"/>
      <c r="Z17" s="20"/>
      <c r="AA17" s="54"/>
      <c r="AB17" s="45"/>
      <c r="AC17" s="49"/>
      <c r="AD17" s="51"/>
      <c r="AE17" s="42"/>
      <c r="AF17" s="51"/>
    </row>
    <row r="18" spans="1:32" x14ac:dyDescent="0.25">
      <c r="A18" s="35" t="s">
        <v>78</v>
      </c>
      <c r="B18" s="35" t="s">
        <v>39</v>
      </c>
      <c r="C18" s="35" t="s">
        <v>79</v>
      </c>
      <c r="D18" s="20" t="s">
        <v>80</v>
      </c>
      <c r="E18" s="20" t="s">
        <v>81</v>
      </c>
      <c r="F18" s="20"/>
      <c r="G18" s="20" t="s">
        <v>486</v>
      </c>
      <c r="H18" s="20">
        <v>1</v>
      </c>
      <c r="I18" s="20"/>
      <c r="J18" s="20" t="s">
        <v>100</v>
      </c>
      <c r="K18" s="20" t="s">
        <v>101</v>
      </c>
      <c r="L18" s="20" t="s">
        <v>102</v>
      </c>
      <c r="M18" s="20"/>
      <c r="N18" s="20"/>
      <c r="O18" s="28" t="s">
        <v>459</v>
      </c>
      <c r="P18" s="28" t="s">
        <v>476</v>
      </c>
      <c r="Q18" s="28" t="s">
        <v>103</v>
      </c>
      <c r="R18" s="20" t="s">
        <v>104</v>
      </c>
      <c r="S18" s="20" t="s">
        <v>73</v>
      </c>
      <c r="T18" s="20" t="s">
        <v>105</v>
      </c>
      <c r="U18" s="20" t="s">
        <v>106</v>
      </c>
      <c r="V18" s="20"/>
      <c r="W18" s="20"/>
      <c r="X18" s="20"/>
      <c r="Y18" s="20"/>
      <c r="Z18" s="20"/>
      <c r="AA18" s="54"/>
      <c r="AB18" s="45" t="s">
        <v>104</v>
      </c>
      <c r="AC18" s="49" t="s">
        <v>104</v>
      </c>
      <c r="AD18" s="51" t="s">
        <v>207</v>
      </c>
      <c r="AE18" s="42" t="s">
        <v>477</v>
      </c>
      <c r="AF18" s="51" t="s">
        <v>108</v>
      </c>
    </row>
    <row r="19" spans="1:32" x14ac:dyDescent="0.25">
      <c r="A19" s="35" t="s">
        <v>78</v>
      </c>
      <c r="B19" s="35" t="s">
        <v>39</v>
      </c>
      <c r="C19" s="35" t="s">
        <v>79</v>
      </c>
      <c r="D19" s="20" t="s">
        <v>80</v>
      </c>
      <c r="E19" s="20" t="s">
        <v>81</v>
      </c>
      <c r="F19" s="20"/>
      <c r="G19" s="20" t="s">
        <v>487</v>
      </c>
      <c r="H19" s="20">
        <v>1</v>
      </c>
      <c r="I19" s="20"/>
      <c r="J19" s="20" t="s">
        <v>57</v>
      </c>
      <c r="K19" s="20" t="s">
        <v>101</v>
      </c>
      <c r="L19" s="20" t="s">
        <v>110</v>
      </c>
      <c r="M19" s="20"/>
      <c r="N19" s="20"/>
      <c r="O19" s="28" t="s">
        <v>459</v>
      </c>
      <c r="P19" s="28" t="s">
        <v>476</v>
      </c>
      <c r="Q19" s="28" t="s">
        <v>111</v>
      </c>
      <c r="R19" s="20" t="s">
        <v>104</v>
      </c>
      <c r="S19" s="20" t="s">
        <v>73</v>
      </c>
      <c r="T19" s="20" t="s">
        <v>105</v>
      </c>
      <c r="U19" s="20" t="s">
        <v>106</v>
      </c>
      <c r="V19" s="20"/>
      <c r="W19" s="20"/>
      <c r="X19" s="20"/>
      <c r="Y19" s="20"/>
      <c r="Z19" s="20"/>
      <c r="AA19" s="54"/>
      <c r="AB19" s="45" t="s">
        <v>104</v>
      </c>
      <c r="AC19" s="49" t="s">
        <v>104</v>
      </c>
      <c r="AD19" s="51" t="s">
        <v>62</v>
      </c>
      <c r="AE19" s="42" t="s">
        <v>477</v>
      </c>
      <c r="AF19" s="51" t="s">
        <v>113</v>
      </c>
    </row>
    <row r="20" spans="1:32" x14ac:dyDescent="0.25">
      <c r="A20" s="35" t="s">
        <v>78</v>
      </c>
      <c r="B20" s="35" t="s">
        <v>39</v>
      </c>
      <c r="C20" s="35" t="s">
        <v>79</v>
      </c>
      <c r="D20" s="20" t="s">
        <v>80</v>
      </c>
      <c r="E20" s="20" t="s">
        <v>81</v>
      </c>
      <c r="F20" s="20"/>
      <c r="G20" s="20" t="s">
        <v>488</v>
      </c>
      <c r="H20" s="20">
        <v>1</v>
      </c>
      <c r="I20" s="20"/>
      <c r="J20" s="20" t="s">
        <v>115</v>
      </c>
      <c r="K20" s="20" t="s">
        <v>101</v>
      </c>
      <c r="L20" s="20" t="s">
        <v>116</v>
      </c>
      <c r="M20" s="20"/>
      <c r="N20" s="20"/>
      <c r="O20" s="28" t="s">
        <v>459</v>
      </c>
      <c r="P20" s="28" t="s">
        <v>476</v>
      </c>
      <c r="Q20" s="28" t="s">
        <v>117</v>
      </c>
      <c r="R20" s="20" t="s">
        <v>104</v>
      </c>
      <c r="S20" s="20" t="s">
        <v>73</v>
      </c>
      <c r="T20" s="20" t="s">
        <v>105</v>
      </c>
      <c r="U20" s="20" t="s">
        <v>106</v>
      </c>
      <c r="V20" s="20"/>
      <c r="W20" s="20"/>
      <c r="X20" s="20"/>
      <c r="Y20" s="20"/>
      <c r="Z20" s="20"/>
      <c r="AA20" s="54"/>
      <c r="AB20" s="45" t="s">
        <v>104</v>
      </c>
      <c r="AC20" s="49" t="s">
        <v>104</v>
      </c>
      <c r="AD20" s="51" t="s">
        <v>237</v>
      </c>
      <c r="AE20" s="42" t="s">
        <v>477</v>
      </c>
      <c r="AF20" s="51" t="s">
        <v>119</v>
      </c>
    </row>
    <row r="21" spans="1:32" x14ac:dyDescent="0.25">
      <c r="A21" s="35" t="s">
        <v>78</v>
      </c>
      <c r="B21" s="35" t="s">
        <v>39</v>
      </c>
      <c r="C21" s="35" t="s">
        <v>79</v>
      </c>
      <c r="D21" s="20" t="s">
        <v>80</v>
      </c>
      <c r="E21" s="20" t="s">
        <v>81</v>
      </c>
      <c r="F21" s="20"/>
      <c r="G21" s="20" t="s">
        <v>489</v>
      </c>
      <c r="H21" s="20">
        <v>1</v>
      </c>
      <c r="I21" s="20"/>
      <c r="J21" s="20" t="s">
        <v>121</v>
      </c>
      <c r="K21" s="20" t="s">
        <v>101</v>
      </c>
      <c r="L21" s="20" t="s">
        <v>122</v>
      </c>
      <c r="M21" s="20"/>
      <c r="N21" s="20"/>
      <c r="O21" s="28" t="s">
        <v>459</v>
      </c>
      <c r="P21" s="28" t="s">
        <v>476</v>
      </c>
      <c r="Q21" s="28" t="s">
        <v>123</v>
      </c>
      <c r="R21" s="20" t="s">
        <v>104</v>
      </c>
      <c r="S21" s="20" t="s">
        <v>73</v>
      </c>
      <c r="T21" s="20" t="s">
        <v>105</v>
      </c>
      <c r="U21" s="20" t="s">
        <v>106</v>
      </c>
      <c r="V21" s="20"/>
      <c r="W21" s="20"/>
      <c r="X21" s="20"/>
      <c r="Y21" s="20"/>
      <c r="Z21" s="20"/>
      <c r="AA21" s="54"/>
      <c r="AB21" s="45" t="s">
        <v>104</v>
      </c>
      <c r="AC21" s="49" t="s">
        <v>104</v>
      </c>
      <c r="AD21" s="51" t="s">
        <v>273</v>
      </c>
      <c r="AE21" s="42" t="s">
        <v>477</v>
      </c>
      <c r="AF21" s="51" t="s">
        <v>125</v>
      </c>
    </row>
    <row r="22" spans="1:32" x14ac:dyDescent="0.25">
      <c r="A22" s="35" t="s">
        <v>78</v>
      </c>
      <c r="B22" s="35" t="s">
        <v>39</v>
      </c>
      <c r="C22" s="35" t="s">
        <v>79</v>
      </c>
      <c r="D22" s="20" t="s">
        <v>80</v>
      </c>
      <c r="E22" s="20" t="s">
        <v>81</v>
      </c>
      <c r="F22" s="20"/>
      <c r="G22" s="20" t="s">
        <v>490</v>
      </c>
      <c r="H22" s="20">
        <v>1</v>
      </c>
      <c r="I22" s="20"/>
      <c r="J22" s="20" t="s">
        <v>127</v>
      </c>
      <c r="K22" s="20" t="s">
        <v>101</v>
      </c>
      <c r="L22" s="20" t="s">
        <v>128</v>
      </c>
      <c r="M22" s="20"/>
      <c r="N22" s="20"/>
      <c r="O22" s="28" t="s">
        <v>459</v>
      </c>
      <c r="P22" s="28" t="s">
        <v>476</v>
      </c>
      <c r="Q22" s="28" t="s">
        <v>129</v>
      </c>
      <c r="R22" s="20" t="s">
        <v>104</v>
      </c>
      <c r="S22" s="20" t="s">
        <v>73</v>
      </c>
      <c r="T22" s="20" t="s">
        <v>105</v>
      </c>
      <c r="U22" s="20" t="s">
        <v>106</v>
      </c>
      <c r="V22" s="20"/>
      <c r="W22" s="20"/>
      <c r="X22" s="20"/>
      <c r="Y22" s="20"/>
      <c r="Z22" s="20"/>
      <c r="AA22" s="54"/>
      <c r="AB22" s="45" t="s">
        <v>104</v>
      </c>
      <c r="AC22" s="49" t="s">
        <v>104</v>
      </c>
      <c r="AD22" s="51" t="s">
        <v>75</v>
      </c>
      <c r="AE22" s="42" t="s">
        <v>477</v>
      </c>
      <c r="AF22" s="51" t="s">
        <v>131</v>
      </c>
    </row>
    <row r="23" spans="1:32" x14ac:dyDescent="0.25">
      <c r="A23" s="35" t="s">
        <v>78</v>
      </c>
      <c r="B23" s="35" t="s">
        <v>39</v>
      </c>
      <c r="C23" s="35" t="s">
        <v>79</v>
      </c>
      <c r="D23" s="20" t="s">
        <v>80</v>
      </c>
      <c r="E23" s="20" t="s">
        <v>81</v>
      </c>
      <c r="F23" s="20"/>
      <c r="G23" s="20" t="s">
        <v>491</v>
      </c>
      <c r="H23" s="20">
        <v>1</v>
      </c>
      <c r="I23" s="20"/>
      <c r="J23" s="20" t="s">
        <v>133</v>
      </c>
      <c r="K23" s="20" t="s">
        <v>101</v>
      </c>
      <c r="L23" s="20" t="s">
        <v>134</v>
      </c>
      <c r="M23" s="20"/>
      <c r="N23" s="20"/>
      <c r="O23" s="28" t="s">
        <v>459</v>
      </c>
      <c r="P23" s="28" t="s">
        <v>476</v>
      </c>
      <c r="Q23" s="28" t="s">
        <v>135</v>
      </c>
      <c r="R23" s="20" t="s">
        <v>104</v>
      </c>
      <c r="S23" s="20" t="s">
        <v>73</v>
      </c>
      <c r="T23" s="20" t="s">
        <v>105</v>
      </c>
      <c r="U23" s="20" t="s">
        <v>106</v>
      </c>
      <c r="V23" s="20"/>
      <c r="W23" s="20"/>
      <c r="X23" s="20"/>
      <c r="Y23" s="20"/>
      <c r="Z23" s="20"/>
      <c r="AA23" s="54"/>
      <c r="AB23" s="45" t="s">
        <v>104</v>
      </c>
      <c r="AC23" s="49" t="s">
        <v>104</v>
      </c>
      <c r="AD23" s="51" t="s">
        <v>153</v>
      </c>
      <c r="AE23" s="42" t="s">
        <v>477</v>
      </c>
      <c r="AF23" s="51" t="s">
        <v>137</v>
      </c>
    </row>
    <row r="24" spans="1:32" x14ac:dyDescent="0.25">
      <c r="A24" s="35" t="s">
        <v>78</v>
      </c>
      <c r="B24" s="35" t="s">
        <v>39</v>
      </c>
      <c r="C24" s="35" t="s">
        <v>79</v>
      </c>
      <c r="D24" s="20" t="s">
        <v>80</v>
      </c>
      <c r="E24" s="20" t="s">
        <v>81</v>
      </c>
      <c r="F24" s="20"/>
      <c r="G24" s="20" t="s">
        <v>492</v>
      </c>
      <c r="H24" s="20">
        <v>1</v>
      </c>
      <c r="I24" s="20"/>
      <c r="J24" s="20" t="s">
        <v>139</v>
      </c>
      <c r="K24" s="20" t="s">
        <v>101</v>
      </c>
      <c r="L24" s="20" t="s">
        <v>134</v>
      </c>
      <c r="M24" s="20"/>
      <c r="N24" s="20"/>
      <c r="O24" s="28" t="s">
        <v>459</v>
      </c>
      <c r="P24" s="28" t="s">
        <v>476</v>
      </c>
      <c r="Q24" s="28" t="s">
        <v>140</v>
      </c>
      <c r="R24" s="20" t="s">
        <v>104</v>
      </c>
      <c r="S24" s="20" t="s">
        <v>73</v>
      </c>
      <c r="T24" s="20" t="s">
        <v>105</v>
      </c>
      <c r="U24" s="20" t="s">
        <v>106</v>
      </c>
      <c r="V24" s="20"/>
      <c r="W24" s="20"/>
      <c r="X24" s="20"/>
      <c r="Y24" s="20"/>
      <c r="Z24" s="20"/>
      <c r="AA24" s="54"/>
      <c r="AB24" s="45" t="s">
        <v>104</v>
      </c>
      <c r="AC24" s="49" t="s">
        <v>104</v>
      </c>
      <c r="AD24" s="51" t="s">
        <v>160</v>
      </c>
      <c r="AE24" s="42" t="s">
        <v>477</v>
      </c>
      <c r="AF24" s="51" t="s">
        <v>142</v>
      </c>
    </row>
    <row r="25" spans="1:32" x14ac:dyDescent="0.25">
      <c r="A25" s="36" t="s">
        <v>78</v>
      </c>
      <c r="B25" s="36" t="s">
        <v>39</v>
      </c>
      <c r="C25" s="36" t="s">
        <v>79</v>
      </c>
      <c r="D25" s="22" t="s">
        <v>80</v>
      </c>
      <c r="E25" s="22" t="s">
        <v>81</v>
      </c>
      <c r="F25" s="22"/>
      <c r="G25" s="22" t="s">
        <v>493</v>
      </c>
      <c r="H25" s="22"/>
      <c r="I25" s="22"/>
      <c r="J25" s="22" t="s">
        <v>144</v>
      </c>
      <c r="K25" s="22"/>
      <c r="L25" s="22"/>
      <c r="M25" s="22"/>
      <c r="N25" s="22"/>
      <c r="O25" s="29" t="s">
        <v>459</v>
      </c>
      <c r="P25" s="29" t="s">
        <v>476</v>
      </c>
      <c r="Q25" s="29"/>
      <c r="R25" s="22"/>
      <c r="S25" s="22" t="s">
        <v>73</v>
      </c>
      <c r="T25" s="22" t="s">
        <v>105</v>
      </c>
      <c r="U25" s="22"/>
      <c r="V25" s="22"/>
      <c r="W25" s="22"/>
      <c r="X25" s="22"/>
      <c r="Y25" s="22"/>
      <c r="Z25" s="22"/>
      <c r="AA25" s="54"/>
      <c r="AB25" s="45"/>
      <c r="AC25" s="49"/>
      <c r="AD25" s="51"/>
      <c r="AE25" s="42"/>
      <c r="AF25" s="51"/>
    </row>
    <row r="26" spans="1:32" x14ac:dyDescent="0.25">
      <c r="A26" s="35" t="s">
        <v>78</v>
      </c>
      <c r="B26" s="35" t="s">
        <v>39</v>
      </c>
      <c r="C26" s="35" t="s">
        <v>79</v>
      </c>
      <c r="D26" s="20" t="s">
        <v>80</v>
      </c>
      <c r="E26" s="20" t="s">
        <v>145</v>
      </c>
      <c r="F26" s="20"/>
      <c r="G26" s="20" t="s">
        <v>494</v>
      </c>
      <c r="H26" s="20" t="s">
        <v>83</v>
      </c>
      <c r="I26" s="20"/>
      <c r="J26" s="20" t="s">
        <v>83</v>
      </c>
      <c r="K26" s="20" t="s">
        <v>101</v>
      </c>
      <c r="L26" s="20" t="s">
        <v>147</v>
      </c>
      <c r="M26" s="20"/>
      <c r="N26" s="20"/>
      <c r="O26" s="28" t="s">
        <v>459</v>
      </c>
      <c r="P26" s="28" t="s">
        <v>495</v>
      </c>
      <c r="Q26" s="28" t="s">
        <v>149</v>
      </c>
      <c r="R26" s="20" t="s">
        <v>150</v>
      </c>
      <c r="S26" s="20" t="s">
        <v>151</v>
      </c>
      <c r="T26" s="20" t="s">
        <v>152</v>
      </c>
      <c r="U26" s="20" t="s">
        <v>106</v>
      </c>
      <c r="V26" s="20"/>
      <c r="W26" s="20"/>
      <c r="X26" s="20"/>
      <c r="Y26" s="20"/>
      <c r="Z26" s="20"/>
      <c r="AA26" s="54"/>
      <c r="AB26" s="45" t="s">
        <v>150</v>
      </c>
      <c r="AC26" s="49" t="s">
        <v>150</v>
      </c>
      <c r="AD26" s="51" t="s">
        <v>207</v>
      </c>
      <c r="AE26" s="42" t="s">
        <v>496</v>
      </c>
      <c r="AF26" s="51" t="s">
        <v>108</v>
      </c>
    </row>
    <row r="27" spans="1:32" x14ac:dyDescent="0.25">
      <c r="A27" s="35" t="s">
        <v>78</v>
      </c>
      <c r="B27" s="35" t="s">
        <v>39</v>
      </c>
      <c r="C27" s="35" t="s">
        <v>79</v>
      </c>
      <c r="D27" s="20" t="s">
        <v>80</v>
      </c>
      <c r="E27" s="20" t="s">
        <v>145</v>
      </c>
      <c r="F27" s="20"/>
      <c r="G27" s="20" t="s">
        <v>497</v>
      </c>
      <c r="H27" s="20" t="s">
        <v>83</v>
      </c>
      <c r="I27" s="20"/>
      <c r="J27" s="20" t="s">
        <v>87</v>
      </c>
      <c r="K27" s="20" t="s">
        <v>156</v>
      </c>
      <c r="L27" s="20" t="s">
        <v>157</v>
      </c>
      <c r="M27" s="20"/>
      <c r="N27" s="20"/>
      <c r="O27" s="28" t="s">
        <v>459</v>
      </c>
      <c r="P27" s="28" t="s">
        <v>495</v>
      </c>
      <c r="Q27" s="28" t="s">
        <v>158</v>
      </c>
      <c r="R27" s="20" t="s">
        <v>150</v>
      </c>
      <c r="S27" s="20" t="s">
        <v>151</v>
      </c>
      <c r="T27" s="20" t="s">
        <v>152</v>
      </c>
      <c r="U27" s="20" t="s">
        <v>159</v>
      </c>
      <c r="V27" s="20"/>
      <c r="W27" s="20"/>
      <c r="X27" s="20"/>
      <c r="Y27" s="20"/>
      <c r="Z27" s="20"/>
      <c r="AA27" s="54"/>
      <c r="AB27" s="45" t="s">
        <v>150</v>
      </c>
      <c r="AC27" s="49" t="s">
        <v>150</v>
      </c>
      <c r="AD27" s="51" t="s">
        <v>62</v>
      </c>
      <c r="AE27" s="42" t="s">
        <v>496</v>
      </c>
      <c r="AF27" s="51" t="s">
        <v>113</v>
      </c>
    </row>
    <row r="28" spans="1:32" x14ac:dyDescent="0.25">
      <c r="A28" s="35" t="s">
        <v>78</v>
      </c>
      <c r="B28" s="35" t="s">
        <v>39</v>
      </c>
      <c r="C28" s="35" t="s">
        <v>79</v>
      </c>
      <c r="D28" s="20" t="s">
        <v>80</v>
      </c>
      <c r="E28" s="20" t="s">
        <v>145</v>
      </c>
      <c r="F28" s="20"/>
      <c r="G28" s="20" t="s">
        <v>498</v>
      </c>
      <c r="H28" s="20" t="s">
        <v>83</v>
      </c>
      <c r="I28" s="20"/>
      <c r="J28" s="20" t="s">
        <v>89</v>
      </c>
      <c r="K28" s="20" t="s">
        <v>101</v>
      </c>
      <c r="L28" s="20" t="s">
        <v>162</v>
      </c>
      <c r="M28" s="20"/>
      <c r="N28" s="20"/>
      <c r="O28" s="28" t="s">
        <v>459</v>
      </c>
      <c r="P28" s="28" t="s">
        <v>495</v>
      </c>
      <c r="Q28" s="28" t="s">
        <v>163</v>
      </c>
      <c r="R28" s="20" t="s">
        <v>150</v>
      </c>
      <c r="S28" s="20" t="s">
        <v>151</v>
      </c>
      <c r="T28" s="20" t="s">
        <v>152</v>
      </c>
      <c r="U28" s="20" t="s">
        <v>106</v>
      </c>
      <c r="V28" s="20"/>
      <c r="W28" s="20"/>
      <c r="X28" s="20"/>
      <c r="Y28" s="20"/>
      <c r="Z28" s="20"/>
      <c r="AA28" s="54"/>
      <c r="AB28" s="45" t="s">
        <v>150</v>
      </c>
      <c r="AC28" s="49" t="s">
        <v>150</v>
      </c>
      <c r="AD28" s="51" t="s">
        <v>237</v>
      </c>
      <c r="AE28" s="42" t="s">
        <v>496</v>
      </c>
      <c r="AF28" s="51" t="s">
        <v>119</v>
      </c>
    </row>
    <row r="29" spans="1:32" x14ac:dyDescent="0.25">
      <c r="A29" s="35" t="s">
        <v>78</v>
      </c>
      <c r="B29" s="35" t="s">
        <v>39</v>
      </c>
      <c r="C29" s="35" t="s">
        <v>79</v>
      </c>
      <c r="D29" s="20" t="s">
        <v>80</v>
      </c>
      <c r="E29" s="20" t="s">
        <v>145</v>
      </c>
      <c r="F29" s="20"/>
      <c r="G29" s="20" t="s">
        <v>499</v>
      </c>
      <c r="H29" s="20" t="s">
        <v>83</v>
      </c>
      <c r="I29" s="20"/>
      <c r="J29" s="20" t="s">
        <v>91</v>
      </c>
      <c r="K29" s="20" t="s">
        <v>101</v>
      </c>
      <c r="L29" s="20" t="s">
        <v>166</v>
      </c>
      <c r="M29" s="20"/>
      <c r="N29" s="20"/>
      <c r="O29" s="28" t="s">
        <v>459</v>
      </c>
      <c r="P29" s="28" t="s">
        <v>495</v>
      </c>
      <c r="Q29" s="28" t="s">
        <v>167</v>
      </c>
      <c r="R29" s="20" t="s">
        <v>150</v>
      </c>
      <c r="S29" s="20" t="s">
        <v>151</v>
      </c>
      <c r="T29" s="20" t="s">
        <v>152</v>
      </c>
      <c r="U29" s="20" t="s">
        <v>106</v>
      </c>
      <c r="V29" s="20"/>
      <c r="W29" s="20"/>
      <c r="X29" s="20"/>
      <c r="Y29" s="20"/>
      <c r="Z29" s="20"/>
      <c r="AA29" s="54"/>
      <c r="AB29" s="45" t="s">
        <v>150</v>
      </c>
      <c r="AC29" s="49" t="s">
        <v>150</v>
      </c>
      <c r="AD29" s="51" t="s">
        <v>273</v>
      </c>
      <c r="AE29" s="42" t="s">
        <v>496</v>
      </c>
      <c r="AF29" s="51" t="s">
        <v>125</v>
      </c>
    </row>
    <row r="30" spans="1:32" x14ac:dyDescent="0.25">
      <c r="A30" s="35" t="s">
        <v>78</v>
      </c>
      <c r="B30" s="35" t="s">
        <v>39</v>
      </c>
      <c r="C30" s="35" t="s">
        <v>79</v>
      </c>
      <c r="D30" s="20" t="s">
        <v>80</v>
      </c>
      <c r="E30" s="20" t="s">
        <v>145</v>
      </c>
      <c r="F30" s="20"/>
      <c r="G30" s="20" t="s">
        <v>500</v>
      </c>
      <c r="H30" s="20"/>
      <c r="I30" s="20"/>
      <c r="J30" s="20" t="s">
        <v>69</v>
      </c>
      <c r="K30" s="20" t="s">
        <v>170</v>
      </c>
      <c r="L30" s="21"/>
      <c r="M30" s="20"/>
      <c r="N30" s="20"/>
      <c r="O30" s="28" t="s">
        <v>459</v>
      </c>
      <c r="P30" s="28" t="s">
        <v>495</v>
      </c>
      <c r="Q30" s="20" t="s">
        <v>171</v>
      </c>
      <c r="R30" s="43" t="s">
        <v>150</v>
      </c>
      <c r="S30" s="20" t="s">
        <v>151</v>
      </c>
      <c r="T30" s="20" t="s">
        <v>172</v>
      </c>
      <c r="U30" s="20" t="s">
        <v>48</v>
      </c>
      <c r="V30" s="20"/>
      <c r="W30" s="20"/>
      <c r="X30" s="20"/>
      <c r="Y30" s="20"/>
      <c r="Z30" s="20"/>
      <c r="AA30" s="54"/>
      <c r="AB30" s="45" t="s">
        <v>150</v>
      </c>
      <c r="AC30" s="49" t="s">
        <v>150</v>
      </c>
      <c r="AD30" s="51" t="s">
        <v>75</v>
      </c>
      <c r="AE30" s="42" t="s">
        <v>496</v>
      </c>
      <c r="AF30" s="51" t="s">
        <v>131</v>
      </c>
    </row>
    <row r="31" spans="1:32" x14ac:dyDescent="0.25">
      <c r="A31" s="35" t="s">
        <v>78</v>
      </c>
      <c r="B31" s="35" t="s">
        <v>39</v>
      </c>
      <c r="C31" s="35" t="s">
        <v>79</v>
      </c>
      <c r="D31" s="20" t="s">
        <v>80</v>
      </c>
      <c r="E31" s="20" t="s">
        <v>145</v>
      </c>
      <c r="F31" s="20"/>
      <c r="G31" s="20" t="s">
        <v>501</v>
      </c>
      <c r="H31" s="20"/>
      <c r="I31" s="20"/>
      <c r="J31" s="20" t="s">
        <v>94</v>
      </c>
      <c r="K31" s="20"/>
      <c r="L31" s="20"/>
      <c r="M31" s="20"/>
      <c r="N31" s="20"/>
      <c r="O31" s="28" t="s">
        <v>459</v>
      </c>
      <c r="P31" s="28" t="s">
        <v>476</v>
      </c>
      <c r="Q31" s="28"/>
      <c r="R31" s="20"/>
      <c r="S31" s="20" t="s">
        <v>73</v>
      </c>
      <c r="T31" s="20" t="s">
        <v>175</v>
      </c>
      <c r="U31" s="20"/>
      <c r="V31" s="20"/>
      <c r="W31" s="20"/>
      <c r="X31" s="20"/>
      <c r="Y31" s="20"/>
      <c r="Z31" s="20"/>
      <c r="AA31" s="54"/>
      <c r="AB31" s="45"/>
      <c r="AC31" s="49"/>
      <c r="AD31" s="51"/>
      <c r="AE31" s="42"/>
      <c r="AF31" s="51"/>
    </row>
    <row r="32" spans="1:32" x14ac:dyDescent="0.25">
      <c r="A32" s="35" t="s">
        <v>78</v>
      </c>
      <c r="B32" s="35" t="s">
        <v>39</v>
      </c>
      <c r="C32" s="35" t="s">
        <v>79</v>
      </c>
      <c r="D32" s="20" t="s">
        <v>80</v>
      </c>
      <c r="E32" s="20" t="s">
        <v>145</v>
      </c>
      <c r="F32" s="20"/>
      <c r="G32" s="20" t="s">
        <v>502</v>
      </c>
      <c r="H32" s="20"/>
      <c r="I32" s="20"/>
      <c r="J32" s="20" t="s">
        <v>96</v>
      </c>
      <c r="K32" s="20"/>
      <c r="L32" s="20"/>
      <c r="M32" s="20"/>
      <c r="N32" s="20"/>
      <c r="O32" s="28" t="s">
        <v>459</v>
      </c>
      <c r="P32" s="28" t="s">
        <v>476</v>
      </c>
      <c r="Q32" s="28"/>
      <c r="R32" s="20"/>
      <c r="S32" s="20" t="s">
        <v>73</v>
      </c>
      <c r="T32" s="20" t="s">
        <v>175</v>
      </c>
      <c r="U32" s="20"/>
      <c r="V32" s="20"/>
      <c r="W32" s="20"/>
      <c r="X32" s="20"/>
      <c r="Y32" s="20"/>
      <c r="Z32" s="20"/>
      <c r="AA32" s="54"/>
      <c r="AB32" s="45"/>
      <c r="AC32" s="49"/>
      <c r="AD32" s="51"/>
      <c r="AE32" s="42"/>
      <c r="AF32" s="51"/>
    </row>
    <row r="33" spans="1:34" x14ac:dyDescent="0.25">
      <c r="A33" s="35" t="s">
        <v>78</v>
      </c>
      <c r="B33" s="35" t="s">
        <v>39</v>
      </c>
      <c r="C33" s="35" t="s">
        <v>79</v>
      </c>
      <c r="D33" s="20" t="s">
        <v>80</v>
      </c>
      <c r="E33" s="20" t="s">
        <v>145</v>
      </c>
      <c r="F33" s="20"/>
      <c r="G33" s="20" t="s">
        <v>503</v>
      </c>
      <c r="H33" s="20"/>
      <c r="I33" s="20"/>
      <c r="J33" s="20" t="s">
        <v>98</v>
      </c>
      <c r="K33" s="20"/>
      <c r="L33" s="20"/>
      <c r="M33" s="20"/>
      <c r="N33" s="20"/>
      <c r="O33" s="28" t="s">
        <v>459</v>
      </c>
      <c r="P33" s="28" t="s">
        <v>476</v>
      </c>
      <c r="Q33" s="28"/>
      <c r="R33" s="20"/>
      <c r="S33" s="20" t="s">
        <v>73</v>
      </c>
      <c r="T33" s="20" t="s">
        <v>175</v>
      </c>
      <c r="U33" s="20"/>
      <c r="V33" s="20"/>
      <c r="W33" s="20"/>
      <c r="X33" s="20"/>
      <c r="Y33" s="20"/>
      <c r="Z33" s="20"/>
      <c r="AA33" s="54"/>
      <c r="AB33" s="45"/>
      <c r="AC33" s="49"/>
      <c r="AD33" s="51"/>
      <c r="AE33" s="42"/>
      <c r="AF33" s="51"/>
    </row>
    <row r="34" spans="1:34" x14ac:dyDescent="0.25">
      <c r="A34" s="35" t="s">
        <v>78</v>
      </c>
      <c r="B34" s="35" t="s">
        <v>39</v>
      </c>
      <c r="C34" s="35" t="s">
        <v>79</v>
      </c>
      <c r="D34" s="20" t="s">
        <v>80</v>
      </c>
      <c r="E34" s="20" t="s">
        <v>145</v>
      </c>
      <c r="F34" s="20"/>
      <c r="G34" s="20" t="s">
        <v>504</v>
      </c>
      <c r="H34" s="20" t="s">
        <v>83</v>
      </c>
      <c r="I34" s="20"/>
      <c r="J34" s="20" t="s">
        <v>100</v>
      </c>
      <c r="K34" s="20" t="s">
        <v>101</v>
      </c>
      <c r="L34" s="20" t="s">
        <v>179</v>
      </c>
      <c r="M34" s="20"/>
      <c r="N34" s="20"/>
      <c r="O34" s="28" t="s">
        <v>459</v>
      </c>
      <c r="P34" s="28" t="s">
        <v>505</v>
      </c>
      <c r="Q34" s="28" t="s">
        <v>149</v>
      </c>
      <c r="R34" s="20" t="s">
        <v>104</v>
      </c>
      <c r="S34" s="20" t="s">
        <v>151</v>
      </c>
      <c r="T34" s="20" t="s">
        <v>152</v>
      </c>
      <c r="U34" s="20" t="s">
        <v>106</v>
      </c>
      <c r="V34" s="20"/>
      <c r="W34" s="20"/>
      <c r="X34" s="20"/>
      <c r="Y34" s="20"/>
      <c r="Z34" s="20"/>
      <c r="AA34" s="54"/>
      <c r="AB34" s="45" t="s">
        <v>104</v>
      </c>
      <c r="AC34" s="49" t="s">
        <v>104</v>
      </c>
      <c r="AD34" s="51" t="s">
        <v>164</v>
      </c>
      <c r="AE34" s="42" t="s">
        <v>506</v>
      </c>
      <c r="AF34" s="51" t="s">
        <v>108</v>
      </c>
    </row>
    <row r="35" spans="1:34" x14ac:dyDescent="0.25">
      <c r="A35" s="35" t="s">
        <v>78</v>
      </c>
      <c r="B35" s="35" t="s">
        <v>39</v>
      </c>
      <c r="C35" s="35" t="s">
        <v>79</v>
      </c>
      <c r="D35" s="20" t="s">
        <v>80</v>
      </c>
      <c r="E35" s="20" t="s">
        <v>145</v>
      </c>
      <c r="F35" s="20"/>
      <c r="G35" s="20" t="s">
        <v>507</v>
      </c>
      <c r="H35" s="20" t="s">
        <v>83</v>
      </c>
      <c r="I35" s="20"/>
      <c r="J35" s="20" t="s">
        <v>57</v>
      </c>
      <c r="K35" s="20" t="s">
        <v>156</v>
      </c>
      <c r="L35" s="20" t="s">
        <v>184</v>
      </c>
      <c r="M35" s="20"/>
      <c r="N35" s="20"/>
      <c r="O35" s="28" t="s">
        <v>459</v>
      </c>
      <c r="P35" s="28" t="s">
        <v>505</v>
      </c>
      <c r="Q35" s="28" t="s">
        <v>158</v>
      </c>
      <c r="R35" s="20" t="s">
        <v>104</v>
      </c>
      <c r="S35" s="20" t="s">
        <v>151</v>
      </c>
      <c r="T35" s="20" t="s">
        <v>152</v>
      </c>
      <c r="U35" s="20" t="s">
        <v>159</v>
      </c>
      <c r="V35" s="20"/>
      <c r="W35" s="20"/>
      <c r="X35" s="20"/>
      <c r="Y35" s="20"/>
      <c r="Z35" s="20"/>
      <c r="AA35" s="54"/>
      <c r="AB35" s="45" t="s">
        <v>104</v>
      </c>
      <c r="AC35" s="49" t="s">
        <v>104</v>
      </c>
      <c r="AD35" s="51" t="s">
        <v>168</v>
      </c>
      <c r="AE35" s="42" t="s">
        <v>506</v>
      </c>
      <c r="AF35" s="51" t="s">
        <v>113</v>
      </c>
    </row>
    <row r="36" spans="1:34" x14ac:dyDescent="0.25">
      <c r="A36" s="35" t="s">
        <v>78</v>
      </c>
      <c r="B36" s="35" t="s">
        <v>39</v>
      </c>
      <c r="C36" s="35" t="s">
        <v>79</v>
      </c>
      <c r="D36" s="20" t="s">
        <v>80</v>
      </c>
      <c r="E36" s="20" t="s">
        <v>145</v>
      </c>
      <c r="F36" s="20"/>
      <c r="G36" s="20" t="s">
        <v>508</v>
      </c>
      <c r="H36" s="20" t="s">
        <v>83</v>
      </c>
      <c r="I36" s="20"/>
      <c r="J36" s="20" t="s">
        <v>115</v>
      </c>
      <c r="K36" s="20" t="s">
        <v>101</v>
      </c>
      <c r="L36" s="20" t="s">
        <v>187</v>
      </c>
      <c r="M36" s="20"/>
      <c r="N36" s="20"/>
      <c r="O36" s="28" t="s">
        <v>459</v>
      </c>
      <c r="P36" s="28" t="s">
        <v>505</v>
      </c>
      <c r="Q36" s="28" t="s">
        <v>163</v>
      </c>
      <c r="R36" s="20" t="s">
        <v>104</v>
      </c>
      <c r="S36" s="20" t="s">
        <v>151</v>
      </c>
      <c r="T36" s="20" t="s">
        <v>152</v>
      </c>
      <c r="U36" s="20" t="s">
        <v>106</v>
      </c>
      <c r="V36" s="20"/>
      <c r="W36" s="20"/>
      <c r="X36" s="20"/>
      <c r="Y36" s="20"/>
      <c r="Z36" s="20"/>
      <c r="AA36" s="54"/>
      <c r="AB36" s="45" t="s">
        <v>104</v>
      </c>
      <c r="AC36" s="49" t="s">
        <v>104</v>
      </c>
      <c r="AD36" s="51" t="s">
        <v>173</v>
      </c>
      <c r="AE36" s="42" t="s">
        <v>506</v>
      </c>
      <c r="AF36" s="51" t="s">
        <v>119</v>
      </c>
    </row>
    <row r="37" spans="1:34" x14ac:dyDescent="0.25">
      <c r="A37" s="35" t="s">
        <v>78</v>
      </c>
      <c r="B37" s="35" t="s">
        <v>39</v>
      </c>
      <c r="C37" s="35" t="s">
        <v>79</v>
      </c>
      <c r="D37" s="20" t="s">
        <v>80</v>
      </c>
      <c r="E37" s="20" t="s">
        <v>145</v>
      </c>
      <c r="F37" s="20"/>
      <c r="G37" s="20" t="s">
        <v>509</v>
      </c>
      <c r="H37" s="20" t="s">
        <v>83</v>
      </c>
      <c r="I37" s="20"/>
      <c r="J37" s="20" t="s">
        <v>121</v>
      </c>
      <c r="K37" s="20" t="s">
        <v>101</v>
      </c>
      <c r="L37" s="20" t="s">
        <v>190</v>
      </c>
      <c r="M37" s="20"/>
      <c r="N37" s="20"/>
      <c r="O37" s="28" t="s">
        <v>459</v>
      </c>
      <c r="P37" s="28" t="s">
        <v>505</v>
      </c>
      <c r="Q37" s="28" t="s">
        <v>167</v>
      </c>
      <c r="R37" s="20" t="s">
        <v>104</v>
      </c>
      <c r="S37" s="20" t="s">
        <v>151</v>
      </c>
      <c r="T37" s="20" t="s">
        <v>152</v>
      </c>
      <c r="U37" s="20" t="s">
        <v>106</v>
      </c>
      <c r="V37" s="20"/>
      <c r="W37" s="20"/>
      <c r="X37" s="20"/>
      <c r="Y37" s="20"/>
      <c r="Z37" s="20"/>
      <c r="AA37" s="54"/>
      <c r="AB37" s="45" t="s">
        <v>104</v>
      </c>
      <c r="AC37" s="49" t="s">
        <v>104</v>
      </c>
      <c r="AD37" s="51" t="s">
        <v>510</v>
      </c>
      <c r="AE37" s="42" t="s">
        <v>506</v>
      </c>
      <c r="AF37" s="51" t="s">
        <v>125</v>
      </c>
    </row>
    <row r="38" spans="1:34" x14ac:dyDescent="0.25">
      <c r="A38" s="35" t="s">
        <v>78</v>
      </c>
      <c r="B38" s="35" t="s">
        <v>39</v>
      </c>
      <c r="C38" s="35" t="s">
        <v>79</v>
      </c>
      <c r="D38" s="20" t="s">
        <v>80</v>
      </c>
      <c r="E38" s="20" t="s">
        <v>145</v>
      </c>
      <c r="F38" s="20"/>
      <c r="G38" s="20" t="s">
        <v>511</v>
      </c>
      <c r="H38" s="20"/>
      <c r="I38" s="20"/>
      <c r="J38" s="20" t="s">
        <v>127</v>
      </c>
      <c r="K38" s="20" t="s">
        <v>170</v>
      </c>
      <c r="L38" s="21"/>
      <c r="M38" s="20"/>
      <c r="N38" s="20"/>
      <c r="O38" s="28" t="s">
        <v>459</v>
      </c>
      <c r="P38" s="28" t="s">
        <v>505</v>
      </c>
      <c r="Q38" s="28" t="s">
        <v>171</v>
      </c>
      <c r="R38" s="43" t="s">
        <v>104</v>
      </c>
      <c r="S38" s="20" t="s">
        <v>151</v>
      </c>
      <c r="T38" s="20" t="s">
        <v>172</v>
      </c>
      <c r="U38" s="20" t="s">
        <v>48</v>
      </c>
      <c r="V38" s="20"/>
      <c r="W38" s="20"/>
      <c r="X38" s="20"/>
      <c r="Y38" s="20"/>
      <c r="Z38" s="20"/>
      <c r="AA38" s="54"/>
      <c r="AB38" s="45" t="s">
        <v>104</v>
      </c>
      <c r="AC38" s="49" t="s">
        <v>104</v>
      </c>
      <c r="AD38" s="51" t="s">
        <v>512</v>
      </c>
      <c r="AE38" s="42" t="s">
        <v>506</v>
      </c>
      <c r="AF38" s="51" t="s">
        <v>131</v>
      </c>
    </row>
    <row r="39" spans="1:34" x14ac:dyDescent="0.25">
      <c r="A39" s="35" t="s">
        <v>78</v>
      </c>
      <c r="B39" s="35" t="s">
        <v>39</v>
      </c>
      <c r="C39" s="35" t="s">
        <v>79</v>
      </c>
      <c r="D39" s="20" t="s">
        <v>80</v>
      </c>
      <c r="E39" s="20" t="s">
        <v>145</v>
      </c>
      <c r="F39" s="20"/>
      <c r="G39" s="20" t="s">
        <v>513</v>
      </c>
      <c r="H39" s="20"/>
      <c r="I39" s="20"/>
      <c r="J39" s="20" t="s">
        <v>133</v>
      </c>
      <c r="K39" s="20"/>
      <c r="L39" s="20"/>
      <c r="M39" s="20"/>
      <c r="N39" s="20"/>
      <c r="O39" s="28" t="s">
        <v>459</v>
      </c>
      <c r="P39" s="28" t="s">
        <v>476</v>
      </c>
      <c r="Q39" s="28"/>
      <c r="R39" s="20"/>
      <c r="S39" s="20" t="s">
        <v>73</v>
      </c>
      <c r="T39" s="20" t="s">
        <v>195</v>
      </c>
      <c r="U39" s="20"/>
      <c r="V39" s="20"/>
      <c r="W39" s="20"/>
      <c r="X39" s="20"/>
      <c r="Y39" s="20"/>
      <c r="Z39" s="20"/>
      <c r="AA39" s="54"/>
      <c r="AB39" s="45"/>
      <c r="AC39" s="49"/>
      <c r="AD39" s="51"/>
      <c r="AE39" s="42"/>
      <c r="AF39" s="51"/>
    </row>
    <row r="40" spans="1:34" x14ac:dyDescent="0.25">
      <c r="A40" s="35" t="s">
        <v>78</v>
      </c>
      <c r="B40" s="35" t="s">
        <v>39</v>
      </c>
      <c r="C40" s="35" t="s">
        <v>79</v>
      </c>
      <c r="D40" s="20" t="s">
        <v>80</v>
      </c>
      <c r="E40" s="20" t="s">
        <v>145</v>
      </c>
      <c r="F40" s="20"/>
      <c r="G40" s="20" t="s">
        <v>514</v>
      </c>
      <c r="H40" s="20"/>
      <c r="I40" s="20"/>
      <c r="J40" s="20" t="s">
        <v>139</v>
      </c>
      <c r="K40" s="20"/>
      <c r="L40" s="20"/>
      <c r="M40" s="20"/>
      <c r="N40" s="20"/>
      <c r="O40" s="28" t="s">
        <v>459</v>
      </c>
      <c r="P40" s="28" t="s">
        <v>476</v>
      </c>
      <c r="Q40" s="28"/>
      <c r="R40" s="20"/>
      <c r="S40" s="20" t="s">
        <v>73</v>
      </c>
      <c r="T40" s="20" t="s">
        <v>195</v>
      </c>
      <c r="U40" s="20"/>
      <c r="V40" s="20"/>
      <c r="W40" s="20"/>
      <c r="X40" s="20"/>
      <c r="Y40" s="20"/>
      <c r="Z40" s="20"/>
      <c r="AA40" s="54"/>
      <c r="AB40" s="45"/>
      <c r="AC40" s="49"/>
      <c r="AD40" s="51"/>
      <c r="AE40" s="42"/>
      <c r="AF40" s="51"/>
    </row>
    <row r="41" spans="1:34" x14ac:dyDescent="0.25">
      <c r="A41" s="36" t="s">
        <v>78</v>
      </c>
      <c r="B41" s="36" t="s">
        <v>39</v>
      </c>
      <c r="C41" s="36" t="s">
        <v>79</v>
      </c>
      <c r="D41" s="22" t="s">
        <v>80</v>
      </c>
      <c r="E41" s="22" t="s">
        <v>145</v>
      </c>
      <c r="F41" s="22"/>
      <c r="G41" s="22" t="s">
        <v>515</v>
      </c>
      <c r="H41" s="22"/>
      <c r="I41" s="22"/>
      <c r="J41" s="22" t="s">
        <v>144</v>
      </c>
      <c r="K41" s="22"/>
      <c r="L41" s="22"/>
      <c r="M41" s="22"/>
      <c r="N41" s="22"/>
      <c r="O41" s="29" t="s">
        <v>459</v>
      </c>
      <c r="P41" s="29" t="s">
        <v>476</v>
      </c>
      <c r="Q41" s="29"/>
      <c r="R41" s="22"/>
      <c r="S41" s="22" t="s">
        <v>73</v>
      </c>
      <c r="T41" s="22" t="s">
        <v>195</v>
      </c>
      <c r="U41" s="22"/>
      <c r="V41" s="22"/>
      <c r="W41" s="22"/>
      <c r="X41" s="22"/>
      <c r="Y41" s="22"/>
      <c r="Z41" s="22"/>
      <c r="AA41" s="54"/>
      <c r="AB41" s="45"/>
      <c r="AC41" s="49"/>
      <c r="AD41" s="51"/>
      <c r="AE41" s="42"/>
      <c r="AF41" s="51"/>
    </row>
    <row r="42" spans="1:34" x14ac:dyDescent="0.25">
      <c r="A42" s="20" t="s">
        <v>198</v>
      </c>
      <c r="B42" s="35" t="s">
        <v>39</v>
      </c>
      <c r="C42" s="35" t="s">
        <v>199</v>
      </c>
      <c r="D42" s="20" t="s">
        <v>200</v>
      </c>
      <c r="E42" s="20" t="s">
        <v>201</v>
      </c>
      <c r="F42" s="20"/>
      <c r="G42" s="20" t="s">
        <v>516</v>
      </c>
      <c r="H42" s="20"/>
      <c r="I42" s="20"/>
      <c r="J42" s="20" t="s">
        <v>83</v>
      </c>
      <c r="K42" s="20"/>
      <c r="L42" s="20" t="s">
        <v>517</v>
      </c>
      <c r="M42" s="20"/>
      <c r="N42" s="20"/>
      <c r="O42" s="28" t="s">
        <v>459</v>
      </c>
      <c r="P42" s="28" t="s">
        <v>476</v>
      </c>
      <c r="Q42" s="28" t="s">
        <v>204</v>
      </c>
      <c r="R42" s="20"/>
      <c r="S42" s="20" t="s">
        <v>73</v>
      </c>
      <c r="T42" s="20" t="s">
        <v>205</v>
      </c>
      <c r="U42" s="20"/>
      <c r="V42" s="20"/>
      <c r="W42" s="20"/>
      <c r="X42" s="20"/>
      <c r="Y42" s="20"/>
      <c r="Z42" s="20"/>
      <c r="AA42" s="54"/>
      <c r="AB42" s="45" t="s">
        <v>518</v>
      </c>
      <c r="AC42" s="49" t="s">
        <v>518</v>
      </c>
      <c r="AD42" s="51" t="s">
        <v>207</v>
      </c>
      <c r="AE42" s="58" t="s">
        <v>208</v>
      </c>
      <c r="AF42" s="55" t="s">
        <v>113</v>
      </c>
      <c r="AG42" t="s">
        <v>85</v>
      </c>
      <c r="AH42" s="75" t="s">
        <v>519</v>
      </c>
    </row>
    <row r="43" spans="1:34" x14ac:dyDescent="0.25">
      <c r="A43" s="20" t="s">
        <v>198</v>
      </c>
      <c r="B43" s="35" t="s">
        <v>39</v>
      </c>
      <c r="C43" s="35" t="s">
        <v>199</v>
      </c>
      <c r="D43" s="20" t="s">
        <v>200</v>
      </c>
      <c r="E43" s="20" t="s">
        <v>201</v>
      </c>
      <c r="F43" s="20"/>
      <c r="G43" s="20" t="s">
        <v>520</v>
      </c>
      <c r="H43" s="20"/>
      <c r="I43" s="20"/>
      <c r="J43" s="20" t="s">
        <v>87</v>
      </c>
      <c r="K43" s="20"/>
      <c r="L43" s="20" t="s">
        <v>521</v>
      </c>
      <c r="M43" s="20"/>
      <c r="N43" s="20"/>
      <c r="O43" s="28" t="s">
        <v>459</v>
      </c>
      <c r="P43" s="28" t="s">
        <v>476</v>
      </c>
      <c r="Q43" s="28" t="s">
        <v>522</v>
      </c>
      <c r="R43" s="20"/>
      <c r="S43" s="20" t="s">
        <v>73</v>
      </c>
      <c r="T43" s="20" t="s">
        <v>205</v>
      </c>
      <c r="U43" s="20"/>
      <c r="V43" s="20"/>
      <c r="W43" s="20"/>
      <c r="X43" s="20"/>
      <c r="Y43" s="20"/>
      <c r="Z43" s="20"/>
      <c r="AA43" s="54"/>
      <c r="AB43" s="45" t="s">
        <v>523</v>
      </c>
      <c r="AC43" s="49" t="s">
        <v>523</v>
      </c>
      <c r="AD43" s="51" t="s">
        <v>207</v>
      </c>
      <c r="AE43" s="58" t="s">
        <v>208</v>
      </c>
      <c r="AF43" s="55" t="s">
        <v>119</v>
      </c>
    </row>
    <row r="44" spans="1:34" x14ac:dyDescent="0.25">
      <c r="A44" s="20" t="s">
        <v>198</v>
      </c>
      <c r="B44" s="35" t="s">
        <v>39</v>
      </c>
      <c r="C44" s="35" t="s">
        <v>199</v>
      </c>
      <c r="D44" s="20" t="s">
        <v>200</v>
      </c>
      <c r="E44" s="20" t="s">
        <v>201</v>
      </c>
      <c r="F44" s="20"/>
      <c r="G44" s="20" t="s">
        <v>524</v>
      </c>
      <c r="H44" s="20"/>
      <c r="I44" s="20"/>
      <c r="J44" s="20" t="s">
        <v>89</v>
      </c>
      <c r="K44" s="20"/>
      <c r="L44" s="20" t="s">
        <v>525</v>
      </c>
      <c r="M44" s="20"/>
      <c r="N44" s="20"/>
      <c r="O44" s="28" t="s">
        <v>459</v>
      </c>
      <c r="P44" s="28" t="s">
        <v>476</v>
      </c>
      <c r="Q44" s="28" t="s">
        <v>526</v>
      </c>
      <c r="R44" s="20"/>
      <c r="S44" s="20" t="s">
        <v>73</v>
      </c>
      <c r="T44" s="20" t="s">
        <v>205</v>
      </c>
      <c r="U44" s="20"/>
      <c r="V44" s="20"/>
      <c r="W44" s="20"/>
      <c r="X44" s="20"/>
      <c r="Y44" s="20"/>
      <c r="Z44" s="20"/>
      <c r="AA44" s="54"/>
      <c r="AB44" s="45" t="s">
        <v>527</v>
      </c>
      <c r="AC44" s="49" t="s">
        <v>527</v>
      </c>
      <c r="AD44" s="51" t="s">
        <v>207</v>
      </c>
      <c r="AE44" s="58" t="s">
        <v>208</v>
      </c>
      <c r="AF44" s="55" t="s">
        <v>125</v>
      </c>
    </row>
    <row r="45" spans="1:34" x14ac:dyDescent="0.25">
      <c r="A45" s="20" t="s">
        <v>198</v>
      </c>
      <c r="B45" s="35" t="s">
        <v>39</v>
      </c>
      <c r="C45" s="35" t="s">
        <v>199</v>
      </c>
      <c r="D45" s="20" t="s">
        <v>200</v>
      </c>
      <c r="E45" s="20" t="s">
        <v>201</v>
      </c>
      <c r="F45" s="20"/>
      <c r="G45" s="20" t="s">
        <v>528</v>
      </c>
      <c r="H45" s="20"/>
      <c r="I45" s="20"/>
      <c r="J45" s="20" t="s">
        <v>91</v>
      </c>
      <c r="K45" s="20"/>
      <c r="L45" s="20"/>
      <c r="M45" s="20"/>
      <c r="N45" s="20"/>
      <c r="O45" s="28" t="s">
        <v>459</v>
      </c>
      <c r="P45" s="28" t="s">
        <v>476</v>
      </c>
      <c r="Q45" s="28"/>
      <c r="R45" s="20"/>
      <c r="S45" s="20" t="s">
        <v>73</v>
      </c>
      <c r="T45" s="20" t="s">
        <v>205</v>
      </c>
      <c r="U45" s="20"/>
      <c r="V45" s="20"/>
      <c r="W45" s="20"/>
      <c r="X45" s="20"/>
      <c r="Y45" s="20"/>
      <c r="Z45" s="20"/>
      <c r="AA45" s="54"/>
      <c r="AB45" s="45"/>
      <c r="AC45" s="49"/>
      <c r="AD45" s="51"/>
      <c r="AE45" s="42"/>
      <c r="AF45" s="51"/>
    </row>
    <row r="46" spans="1:34" x14ac:dyDescent="0.25">
      <c r="A46" s="20" t="s">
        <v>198</v>
      </c>
      <c r="B46" s="35" t="s">
        <v>39</v>
      </c>
      <c r="C46" s="35" t="s">
        <v>199</v>
      </c>
      <c r="D46" s="20" t="s">
        <v>200</v>
      </c>
      <c r="E46" s="20" t="s">
        <v>201</v>
      </c>
      <c r="F46" s="20"/>
      <c r="G46" s="20" t="s">
        <v>529</v>
      </c>
      <c r="H46" s="20"/>
      <c r="I46" s="20"/>
      <c r="J46" s="20" t="s">
        <v>69</v>
      </c>
      <c r="K46" s="20"/>
      <c r="L46" s="20"/>
      <c r="M46" s="20"/>
      <c r="N46" s="20"/>
      <c r="O46" s="28" t="s">
        <v>459</v>
      </c>
      <c r="P46" s="28" t="s">
        <v>476</v>
      </c>
      <c r="Q46" s="28"/>
      <c r="R46" s="20"/>
      <c r="S46" s="20" t="s">
        <v>73</v>
      </c>
      <c r="T46" s="20" t="s">
        <v>205</v>
      </c>
      <c r="U46" s="20"/>
      <c r="V46" s="20"/>
      <c r="W46" s="20"/>
      <c r="X46" s="20"/>
      <c r="Y46" s="20"/>
      <c r="Z46" s="20"/>
      <c r="AA46" s="54"/>
      <c r="AB46" s="45"/>
      <c r="AC46" s="49"/>
      <c r="AD46" s="51"/>
      <c r="AE46" s="42"/>
      <c r="AF46" s="51"/>
    </row>
    <row r="47" spans="1:34" x14ac:dyDescent="0.25">
      <c r="A47" s="20" t="s">
        <v>198</v>
      </c>
      <c r="B47" s="35" t="s">
        <v>39</v>
      </c>
      <c r="C47" s="35" t="s">
        <v>199</v>
      </c>
      <c r="D47" s="20" t="s">
        <v>200</v>
      </c>
      <c r="E47" s="20" t="s">
        <v>201</v>
      </c>
      <c r="F47" s="20"/>
      <c r="G47" s="20" t="s">
        <v>530</v>
      </c>
      <c r="H47" s="20"/>
      <c r="I47" s="20"/>
      <c r="J47" s="20" t="s">
        <v>94</v>
      </c>
      <c r="K47" s="20"/>
      <c r="L47" s="20"/>
      <c r="M47" s="20"/>
      <c r="N47" s="20"/>
      <c r="O47" s="28" t="s">
        <v>459</v>
      </c>
      <c r="P47" s="28" t="s">
        <v>476</v>
      </c>
      <c r="Q47" s="28"/>
      <c r="R47" s="20"/>
      <c r="S47" s="20" t="s">
        <v>73</v>
      </c>
      <c r="T47" s="20" t="s">
        <v>205</v>
      </c>
      <c r="U47" s="20"/>
      <c r="V47" s="20"/>
      <c r="W47" s="20"/>
      <c r="X47" s="20"/>
      <c r="Y47" s="20"/>
      <c r="Z47" s="20"/>
      <c r="AA47" s="54"/>
      <c r="AB47" s="45"/>
      <c r="AC47" s="49"/>
      <c r="AD47" s="51"/>
      <c r="AE47" s="42"/>
      <c r="AF47" s="51"/>
    </row>
    <row r="48" spans="1:34" x14ac:dyDescent="0.25">
      <c r="A48" s="20" t="s">
        <v>198</v>
      </c>
      <c r="B48" s="35" t="s">
        <v>39</v>
      </c>
      <c r="C48" s="35" t="s">
        <v>199</v>
      </c>
      <c r="D48" s="20" t="s">
        <v>200</v>
      </c>
      <c r="E48" s="20" t="s">
        <v>201</v>
      </c>
      <c r="F48" s="20"/>
      <c r="G48" s="20" t="s">
        <v>531</v>
      </c>
      <c r="H48" s="20"/>
      <c r="I48" s="20"/>
      <c r="J48" s="20" t="s">
        <v>96</v>
      </c>
      <c r="K48" s="20"/>
      <c r="L48" s="20"/>
      <c r="M48" s="20"/>
      <c r="N48" s="20"/>
      <c r="O48" s="28" t="s">
        <v>459</v>
      </c>
      <c r="P48" s="28" t="s">
        <v>476</v>
      </c>
      <c r="Q48" s="28"/>
      <c r="R48" s="20"/>
      <c r="S48" s="20" t="s">
        <v>73</v>
      </c>
      <c r="T48" s="20" t="s">
        <v>205</v>
      </c>
      <c r="U48" s="20"/>
      <c r="V48" s="20"/>
      <c r="W48" s="20"/>
      <c r="X48" s="20"/>
      <c r="Y48" s="20"/>
      <c r="Z48" s="20"/>
      <c r="AA48" s="54"/>
      <c r="AB48" s="45"/>
      <c r="AC48" s="49"/>
      <c r="AD48" s="51"/>
      <c r="AE48" s="42"/>
      <c r="AF48" s="51"/>
    </row>
    <row r="49" spans="1:34" x14ac:dyDescent="0.25">
      <c r="A49" s="20" t="s">
        <v>198</v>
      </c>
      <c r="B49" s="35" t="s">
        <v>39</v>
      </c>
      <c r="C49" s="35" t="s">
        <v>199</v>
      </c>
      <c r="D49" s="20" t="s">
        <v>200</v>
      </c>
      <c r="E49" s="20" t="s">
        <v>201</v>
      </c>
      <c r="F49" s="20"/>
      <c r="G49" s="20" t="s">
        <v>532</v>
      </c>
      <c r="H49" s="20"/>
      <c r="I49" s="20"/>
      <c r="J49" s="20" t="s">
        <v>98</v>
      </c>
      <c r="K49" s="20"/>
      <c r="L49" s="20"/>
      <c r="M49" s="20"/>
      <c r="N49" s="20"/>
      <c r="O49" s="28" t="s">
        <v>459</v>
      </c>
      <c r="P49" s="28" t="s">
        <v>476</v>
      </c>
      <c r="Q49" s="28"/>
      <c r="R49" s="20"/>
      <c r="S49" s="20" t="s">
        <v>73</v>
      </c>
      <c r="T49" s="20" t="s">
        <v>205</v>
      </c>
      <c r="U49" s="20"/>
      <c r="V49" s="20"/>
      <c r="W49" s="20"/>
      <c r="X49" s="20"/>
      <c r="Y49" s="20"/>
      <c r="Z49" s="20"/>
      <c r="AA49" s="54"/>
      <c r="AB49" s="45"/>
      <c r="AC49" s="49"/>
      <c r="AD49" s="51"/>
      <c r="AE49" s="42"/>
      <c r="AF49" s="51"/>
    </row>
    <row r="50" spans="1:34" x14ac:dyDescent="0.25">
      <c r="A50" s="20" t="s">
        <v>198</v>
      </c>
      <c r="B50" s="35" t="s">
        <v>39</v>
      </c>
      <c r="C50" s="35" t="s">
        <v>199</v>
      </c>
      <c r="D50" s="20" t="s">
        <v>200</v>
      </c>
      <c r="E50" s="20" t="s">
        <v>201</v>
      </c>
      <c r="F50" s="20"/>
      <c r="G50" s="20" t="s">
        <v>533</v>
      </c>
      <c r="H50" s="20"/>
      <c r="I50" s="20"/>
      <c r="J50" s="20" t="s">
        <v>100</v>
      </c>
      <c r="K50" s="20"/>
      <c r="L50" s="20"/>
      <c r="M50" s="20"/>
      <c r="N50" s="20"/>
      <c r="O50" s="28" t="s">
        <v>459</v>
      </c>
      <c r="P50" s="28" t="s">
        <v>476</v>
      </c>
      <c r="Q50" s="28"/>
      <c r="R50" s="20"/>
      <c r="S50" s="20" t="s">
        <v>73</v>
      </c>
      <c r="T50" s="20" t="s">
        <v>217</v>
      </c>
      <c r="U50" s="20"/>
      <c r="V50" s="20"/>
      <c r="W50" s="20"/>
      <c r="X50" s="20"/>
      <c r="Y50" s="20"/>
      <c r="Z50" s="20"/>
      <c r="AA50" s="54"/>
      <c r="AB50" s="45"/>
      <c r="AC50" s="49"/>
      <c r="AD50" s="51"/>
      <c r="AE50" s="42"/>
      <c r="AF50" s="51"/>
    </row>
    <row r="51" spans="1:34" x14ac:dyDescent="0.25">
      <c r="A51" s="20" t="s">
        <v>198</v>
      </c>
      <c r="B51" s="35" t="s">
        <v>39</v>
      </c>
      <c r="C51" s="35" t="s">
        <v>199</v>
      </c>
      <c r="D51" s="20" t="s">
        <v>200</v>
      </c>
      <c r="E51" s="20" t="s">
        <v>201</v>
      </c>
      <c r="F51" s="20"/>
      <c r="G51" s="20" t="s">
        <v>534</v>
      </c>
      <c r="H51" s="20"/>
      <c r="I51" s="20"/>
      <c r="J51" s="20" t="s">
        <v>57</v>
      </c>
      <c r="K51" s="20"/>
      <c r="L51" s="20"/>
      <c r="M51" s="20"/>
      <c r="N51" s="20"/>
      <c r="O51" s="28" t="s">
        <v>459</v>
      </c>
      <c r="P51" s="28" t="s">
        <v>476</v>
      </c>
      <c r="Q51" s="28"/>
      <c r="R51" s="20"/>
      <c r="S51" s="20" t="s">
        <v>73</v>
      </c>
      <c r="T51" s="20" t="s">
        <v>217</v>
      </c>
      <c r="U51" s="20"/>
      <c r="V51" s="20"/>
      <c r="W51" s="20"/>
      <c r="X51" s="20"/>
      <c r="Y51" s="20"/>
      <c r="Z51" s="20"/>
      <c r="AA51" s="54"/>
      <c r="AB51" s="45"/>
      <c r="AC51" s="49"/>
      <c r="AD51" s="51"/>
      <c r="AE51" s="42"/>
      <c r="AF51" s="51"/>
    </row>
    <row r="52" spans="1:34" x14ac:dyDescent="0.25">
      <c r="A52" s="20" t="s">
        <v>198</v>
      </c>
      <c r="B52" s="35" t="s">
        <v>39</v>
      </c>
      <c r="C52" s="35" t="s">
        <v>199</v>
      </c>
      <c r="D52" s="20" t="s">
        <v>200</v>
      </c>
      <c r="E52" s="20" t="s">
        <v>201</v>
      </c>
      <c r="F52" s="20"/>
      <c r="G52" s="20" t="s">
        <v>535</v>
      </c>
      <c r="H52" s="20"/>
      <c r="I52" s="20"/>
      <c r="J52" s="20" t="s">
        <v>115</v>
      </c>
      <c r="K52" s="20"/>
      <c r="L52" s="20"/>
      <c r="M52" s="20"/>
      <c r="N52" s="20"/>
      <c r="O52" s="28" t="s">
        <v>459</v>
      </c>
      <c r="P52" s="28" t="s">
        <v>476</v>
      </c>
      <c r="Q52" s="28"/>
      <c r="R52" s="20"/>
      <c r="S52" s="20" t="s">
        <v>73</v>
      </c>
      <c r="T52" s="20" t="s">
        <v>217</v>
      </c>
      <c r="U52" s="20"/>
      <c r="V52" s="20"/>
      <c r="W52" s="20"/>
      <c r="X52" s="20"/>
      <c r="Y52" s="20"/>
      <c r="Z52" s="20"/>
      <c r="AA52" s="54"/>
      <c r="AB52" s="45"/>
      <c r="AC52" s="49"/>
      <c r="AD52" s="51"/>
      <c r="AE52" s="42"/>
      <c r="AF52" s="51"/>
    </row>
    <row r="53" spans="1:34" x14ac:dyDescent="0.25">
      <c r="A53" s="20" t="s">
        <v>198</v>
      </c>
      <c r="B53" s="35" t="s">
        <v>39</v>
      </c>
      <c r="C53" s="35" t="s">
        <v>199</v>
      </c>
      <c r="D53" s="20" t="s">
        <v>200</v>
      </c>
      <c r="E53" s="20" t="s">
        <v>201</v>
      </c>
      <c r="F53" s="20"/>
      <c r="G53" s="20" t="s">
        <v>536</v>
      </c>
      <c r="H53" s="20"/>
      <c r="I53" s="20"/>
      <c r="J53" s="20" t="s">
        <v>121</v>
      </c>
      <c r="K53" s="20"/>
      <c r="L53" s="20"/>
      <c r="M53" s="20"/>
      <c r="N53" s="20"/>
      <c r="O53" s="28" t="s">
        <v>459</v>
      </c>
      <c r="P53" s="28" t="s">
        <v>476</v>
      </c>
      <c r="Q53" s="28"/>
      <c r="R53" s="20"/>
      <c r="S53" s="20" t="s">
        <v>73</v>
      </c>
      <c r="T53" s="20" t="s">
        <v>217</v>
      </c>
      <c r="U53" s="20"/>
      <c r="V53" s="20"/>
      <c r="W53" s="20"/>
      <c r="X53" s="20"/>
      <c r="Y53" s="20"/>
      <c r="Z53" s="20"/>
      <c r="AA53" s="54"/>
      <c r="AB53" s="45"/>
      <c r="AC53" s="49"/>
      <c r="AD53" s="51"/>
      <c r="AE53" s="42"/>
      <c r="AF53" s="51"/>
    </row>
    <row r="54" spans="1:34" x14ac:dyDescent="0.25">
      <c r="A54" s="20" t="s">
        <v>198</v>
      </c>
      <c r="B54" s="35" t="s">
        <v>39</v>
      </c>
      <c r="C54" s="35" t="s">
        <v>199</v>
      </c>
      <c r="D54" s="20" t="s">
        <v>200</v>
      </c>
      <c r="E54" s="20" t="s">
        <v>201</v>
      </c>
      <c r="F54" s="20"/>
      <c r="G54" s="20" t="s">
        <v>537</v>
      </c>
      <c r="H54" s="20"/>
      <c r="I54" s="20"/>
      <c r="J54" s="20" t="s">
        <v>127</v>
      </c>
      <c r="K54" s="20"/>
      <c r="L54" s="20"/>
      <c r="M54" s="20"/>
      <c r="N54" s="20"/>
      <c r="O54" s="28" t="s">
        <v>459</v>
      </c>
      <c r="P54" s="28" t="s">
        <v>476</v>
      </c>
      <c r="Q54" s="28"/>
      <c r="R54" s="20"/>
      <c r="S54" s="20" t="s">
        <v>73</v>
      </c>
      <c r="T54" s="20" t="s">
        <v>217</v>
      </c>
      <c r="U54" s="20"/>
      <c r="V54" s="20"/>
      <c r="W54" s="20"/>
      <c r="X54" s="20"/>
      <c r="Y54" s="20"/>
      <c r="Z54" s="20"/>
      <c r="AA54" s="54"/>
      <c r="AB54" s="45"/>
      <c r="AC54" s="49"/>
      <c r="AD54" s="51"/>
      <c r="AE54" s="42"/>
      <c r="AF54" s="51"/>
    </row>
    <row r="55" spans="1:34" x14ac:dyDescent="0.25">
      <c r="A55" s="20" t="s">
        <v>198</v>
      </c>
      <c r="B55" s="35" t="s">
        <v>39</v>
      </c>
      <c r="C55" s="35" t="s">
        <v>199</v>
      </c>
      <c r="D55" s="20" t="s">
        <v>200</v>
      </c>
      <c r="E55" s="20" t="s">
        <v>201</v>
      </c>
      <c r="F55" s="20"/>
      <c r="G55" s="20" t="s">
        <v>538</v>
      </c>
      <c r="H55" s="20"/>
      <c r="I55" s="20"/>
      <c r="J55" s="20" t="s">
        <v>133</v>
      </c>
      <c r="K55" s="20"/>
      <c r="L55" s="20"/>
      <c r="M55" s="20"/>
      <c r="N55" s="20"/>
      <c r="O55" s="28" t="s">
        <v>459</v>
      </c>
      <c r="P55" s="28" t="s">
        <v>476</v>
      </c>
      <c r="Q55" s="20"/>
      <c r="R55" s="20"/>
      <c r="S55" s="20" t="s">
        <v>73</v>
      </c>
      <c r="T55" s="20" t="s">
        <v>217</v>
      </c>
      <c r="U55" s="20"/>
      <c r="V55" s="20"/>
      <c r="W55" s="20"/>
      <c r="X55" s="20"/>
      <c r="Y55" s="20"/>
      <c r="Z55" s="20"/>
      <c r="AA55" s="54"/>
      <c r="AB55" s="45"/>
      <c r="AC55" s="49"/>
      <c r="AD55" s="51"/>
      <c r="AE55" s="42"/>
      <c r="AF55" s="51"/>
    </row>
    <row r="56" spans="1:34" x14ac:dyDescent="0.25">
      <c r="A56" s="20" t="s">
        <v>198</v>
      </c>
      <c r="B56" s="35" t="s">
        <v>39</v>
      </c>
      <c r="C56" s="35" t="s">
        <v>199</v>
      </c>
      <c r="D56" s="20" t="s">
        <v>200</v>
      </c>
      <c r="E56" s="20" t="s">
        <v>201</v>
      </c>
      <c r="F56" s="20"/>
      <c r="G56" s="20" t="s">
        <v>539</v>
      </c>
      <c r="H56" s="20"/>
      <c r="I56" s="20"/>
      <c r="J56" s="20" t="s">
        <v>139</v>
      </c>
      <c r="K56" s="20"/>
      <c r="L56" s="20"/>
      <c r="M56" s="20"/>
      <c r="N56" s="20"/>
      <c r="O56" s="28" t="s">
        <v>459</v>
      </c>
      <c r="P56" s="28" t="s">
        <v>476</v>
      </c>
      <c r="Q56" s="20"/>
      <c r="R56" s="20"/>
      <c r="S56" s="20" t="s">
        <v>73</v>
      </c>
      <c r="T56" s="20" t="s">
        <v>217</v>
      </c>
      <c r="U56" s="20"/>
      <c r="V56" s="20"/>
      <c r="W56" s="20"/>
      <c r="X56" s="20"/>
      <c r="Y56" s="20"/>
      <c r="Z56" s="20"/>
      <c r="AA56" s="54"/>
      <c r="AB56" s="45"/>
      <c r="AC56" s="49"/>
      <c r="AD56" s="51"/>
      <c r="AE56" s="42"/>
      <c r="AF56" s="51"/>
    </row>
    <row r="57" spans="1:34" ht="14.45" customHeight="1" x14ac:dyDescent="0.25">
      <c r="A57" s="22" t="s">
        <v>198</v>
      </c>
      <c r="B57" s="36" t="s">
        <v>39</v>
      </c>
      <c r="C57" s="36" t="s">
        <v>199</v>
      </c>
      <c r="D57" s="22" t="s">
        <v>200</v>
      </c>
      <c r="E57" s="22" t="s">
        <v>201</v>
      </c>
      <c r="F57" s="22"/>
      <c r="G57" s="22" t="s">
        <v>540</v>
      </c>
      <c r="H57" s="22"/>
      <c r="I57" s="22"/>
      <c r="J57" s="22" t="s">
        <v>144</v>
      </c>
      <c r="K57" s="22"/>
      <c r="L57" s="22"/>
      <c r="M57" s="22"/>
      <c r="N57" s="22"/>
      <c r="O57" s="29" t="s">
        <v>459</v>
      </c>
      <c r="P57" s="29" t="s">
        <v>476</v>
      </c>
      <c r="Q57" s="22"/>
      <c r="R57" s="22"/>
      <c r="S57" s="22" t="s">
        <v>73</v>
      </c>
      <c r="T57" s="22" t="s">
        <v>217</v>
      </c>
      <c r="U57" s="22"/>
      <c r="V57" s="22"/>
      <c r="W57" s="22"/>
      <c r="X57" s="22"/>
      <c r="Y57" s="22"/>
      <c r="Z57" s="22"/>
      <c r="AA57" s="54"/>
      <c r="AB57" s="45"/>
      <c r="AC57" s="49"/>
      <c r="AD57" s="51"/>
      <c r="AE57" s="42"/>
      <c r="AF57" s="51"/>
    </row>
    <row r="58" spans="1:34" x14ac:dyDescent="0.25">
      <c r="A58" s="20" t="s">
        <v>225</v>
      </c>
      <c r="B58" s="35" t="s">
        <v>39</v>
      </c>
      <c r="C58" s="35" t="s">
        <v>226</v>
      </c>
      <c r="D58" s="20" t="s">
        <v>227</v>
      </c>
      <c r="E58" s="20" t="s">
        <v>228</v>
      </c>
      <c r="F58" s="20"/>
      <c r="G58" s="20" t="s">
        <v>541</v>
      </c>
      <c r="H58" s="20">
        <v>1</v>
      </c>
      <c r="I58" s="20"/>
      <c r="J58" s="19" t="s">
        <v>230</v>
      </c>
      <c r="K58" s="20" t="s">
        <v>231</v>
      </c>
      <c r="L58" s="20" t="s">
        <v>232</v>
      </c>
      <c r="M58" s="20"/>
      <c r="N58" s="20"/>
      <c r="O58" s="28" t="s">
        <v>459</v>
      </c>
      <c r="P58" s="28" t="s">
        <v>476</v>
      </c>
      <c r="Q58" s="28" t="s">
        <v>233</v>
      </c>
      <c r="R58" s="20" t="s">
        <v>104</v>
      </c>
      <c r="S58" s="20" t="s">
        <v>73</v>
      </c>
      <c r="T58" s="20" t="s">
        <v>234</v>
      </c>
      <c r="U58" s="20" t="s">
        <v>235</v>
      </c>
      <c r="V58" s="20"/>
      <c r="W58" s="20"/>
      <c r="X58" s="20"/>
      <c r="Y58" s="20"/>
      <c r="Z58" s="20"/>
      <c r="AA58" s="54"/>
      <c r="AB58" s="45" t="s">
        <v>236</v>
      </c>
      <c r="AC58" s="49" t="s">
        <v>236</v>
      </c>
      <c r="AD58" s="51" t="s">
        <v>207</v>
      </c>
      <c r="AE58" s="42" t="s">
        <v>238</v>
      </c>
      <c r="AF58" s="51" t="s">
        <v>108</v>
      </c>
    </row>
    <row r="59" spans="1:34" x14ac:dyDescent="0.25">
      <c r="A59" s="20" t="s">
        <v>225</v>
      </c>
      <c r="B59" s="35" t="s">
        <v>39</v>
      </c>
      <c r="C59" s="35" t="s">
        <v>226</v>
      </c>
      <c r="D59" s="20" t="s">
        <v>227</v>
      </c>
      <c r="E59" s="20" t="s">
        <v>228</v>
      </c>
      <c r="F59" s="20"/>
      <c r="G59" s="20" t="s">
        <v>542</v>
      </c>
      <c r="H59" s="20" t="s">
        <v>83</v>
      </c>
      <c r="I59" s="20"/>
      <c r="J59" s="19" t="s">
        <v>240</v>
      </c>
      <c r="K59" s="20" t="s">
        <v>241</v>
      </c>
      <c r="L59" s="20" t="s">
        <v>242</v>
      </c>
      <c r="M59" s="20"/>
      <c r="N59" s="20"/>
      <c r="O59" s="28" t="s">
        <v>459</v>
      </c>
      <c r="P59" s="28" t="s">
        <v>476</v>
      </c>
      <c r="Q59" s="28" t="s">
        <v>243</v>
      </c>
      <c r="R59" s="20" t="s">
        <v>104</v>
      </c>
      <c r="S59" s="20" t="s">
        <v>73</v>
      </c>
      <c r="T59" s="20" t="s">
        <v>234</v>
      </c>
      <c r="U59" s="20" t="s">
        <v>244</v>
      </c>
      <c r="V59" s="20"/>
      <c r="W59" s="20"/>
      <c r="X59" s="20"/>
      <c r="Y59" s="20"/>
      <c r="Z59" s="20"/>
      <c r="AA59" s="54"/>
      <c r="AB59" s="45" t="s">
        <v>245</v>
      </c>
      <c r="AC59" s="49" t="s">
        <v>245</v>
      </c>
      <c r="AD59" s="51" t="s">
        <v>207</v>
      </c>
      <c r="AE59" s="42" t="s">
        <v>246</v>
      </c>
      <c r="AF59" s="51" t="s">
        <v>108</v>
      </c>
      <c r="AH59" s="75" t="s">
        <v>113</v>
      </c>
    </row>
    <row r="60" spans="1:34" x14ac:dyDescent="0.25">
      <c r="A60" s="20" t="s">
        <v>225</v>
      </c>
      <c r="B60" s="35" t="s">
        <v>39</v>
      </c>
      <c r="C60" s="35" t="s">
        <v>226</v>
      </c>
      <c r="D60" s="20" t="s">
        <v>227</v>
      </c>
      <c r="E60" s="20" t="s">
        <v>228</v>
      </c>
      <c r="F60" s="20"/>
      <c r="G60" s="20" t="s">
        <v>543</v>
      </c>
      <c r="H60" s="20" t="s">
        <v>248</v>
      </c>
      <c r="I60" s="20"/>
      <c r="J60" s="19" t="s">
        <v>249</v>
      </c>
      <c r="K60" s="46" t="s">
        <v>250</v>
      </c>
      <c r="L60" s="20"/>
      <c r="M60" s="20"/>
      <c r="N60" s="20"/>
      <c r="O60" s="28" t="s">
        <v>459</v>
      </c>
      <c r="P60" s="28" t="s">
        <v>476</v>
      </c>
      <c r="Q60" s="28" t="s">
        <v>251</v>
      </c>
      <c r="R60" s="21"/>
      <c r="S60" s="20" t="s">
        <v>73</v>
      </c>
      <c r="T60" s="20" t="s">
        <v>234</v>
      </c>
      <c r="U60" s="20" t="s">
        <v>252</v>
      </c>
      <c r="V60" s="20"/>
      <c r="W60" s="20"/>
      <c r="X60" s="20"/>
      <c r="Y60" s="20"/>
      <c r="Z60" s="20"/>
      <c r="AA60" s="54"/>
      <c r="AB60" s="45" t="s">
        <v>253</v>
      </c>
      <c r="AC60" s="49" t="s">
        <v>253</v>
      </c>
      <c r="AD60" s="51" t="s">
        <v>207</v>
      </c>
      <c r="AE60" s="42"/>
      <c r="AF60" s="51"/>
    </row>
    <row r="61" spans="1:34" x14ac:dyDescent="0.25">
      <c r="A61" s="20" t="s">
        <v>225</v>
      </c>
      <c r="B61" s="35" t="s">
        <v>39</v>
      </c>
      <c r="C61" s="35" t="s">
        <v>226</v>
      </c>
      <c r="D61" s="20" t="s">
        <v>227</v>
      </c>
      <c r="E61" s="20" t="s">
        <v>228</v>
      </c>
      <c r="F61" s="20"/>
      <c r="G61" s="20" t="s">
        <v>544</v>
      </c>
      <c r="H61" s="20"/>
      <c r="I61" s="20"/>
      <c r="J61" s="19" t="s">
        <v>255</v>
      </c>
      <c r="K61" s="21" t="s">
        <v>256</v>
      </c>
      <c r="L61" s="21" t="s">
        <v>242</v>
      </c>
      <c r="M61" s="20"/>
      <c r="N61" s="20"/>
      <c r="O61" s="28" t="s">
        <v>459</v>
      </c>
      <c r="P61" s="28" t="s">
        <v>476</v>
      </c>
      <c r="Q61" s="67" t="s">
        <v>257</v>
      </c>
      <c r="R61" s="21"/>
      <c r="S61" s="20" t="s">
        <v>73</v>
      </c>
      <c r="T61" s="20" t="s">
        <v>234</v>
      </c>
      <c r="U61" s="21"/>
      <c r="V61" s="20"/>
      <c r="W61" s="20"/>
      <c r="X61" s="20"/>
      <c r="Y61" s="20"/>
      <c r="Z61" s="20"/>
      <c r="AA61" s="54"/>
      <c r="AB61" s="45" t="s">
        <v>258</v>
      </c>
      <c r="AC61" s="49" t="s">
        <v>258</v>
      </c>
      <c r="AD61" s="55" t="s">
        <v>207</v>
      </c>
      <c r="AE61" s="58" t="s">
        <v>259</v>
      </c>
      <c r="AF61" s="55" t="s">
        <v>108</v>
      </c>
      <c r="AH61" s="75" t="s">
        <v>113</v>
      </c>
    </row>
    <row r="62" spans="1:34" x14ac:dyDescent="0.25">
      <c r="A62" s="20" t="s">
        <v>225</v>
      </c>
      <c r="B62" s="35" t="s">
        <v>39</v>
      </c>
      <c r="C62" s="35" t="s">
        <v>226</v>
      </c>
      <c r="D62" s="20" t="s">
        <v>227</v>
      </c>
      <c r="E62" s="20" t="s">
        <v>228</v>
      </c>
      <c r="F62" s="20"/>
      <c r="G62" s="20" t="s">
        <v>545</v>
      </c>
      <c r="H62" s="20" t="s">
        <v>83</v>
      </c>
      <c r="I62" s="20"/>
      <c r="J62" s="19" t="s">
        <v>261</v>
      </c>
      <c r="K62" s="20" t="s">
        <v>231</v>
      </c>
      <c r="L62" s="20" t="s">
        <v>262</v>
      </c>
      <c r="M62" s="20"/>
      <c r="N62" s="20"/>
      <c r="O62" s="28" t="s">
        <v>459</v>
      </c>
      <c r="P62" s="28" t="s">
        <v>476</v>
      </c>
      <c r="Q62" s="28" t="s">
        <v>233</v>
      </c>
      <c r="R62" s="20" t="s">
        <v>104</v>
      </c>
      <c r="S62" s="20" t="s">
        <v>73</v>
      </c>
      <c r="T62" s="20" t="s">
        <v>234</v>
      </c>
      <c r="U62" s="20" t="s">
        <v>235</v>
      </c>
      <c r="V62" s="20"/>
      <c r="W62" s="20"/>
      <c r="X62" s="20"/>
      <c r="Y62" s="20"/>
      <c r="Z62" s="20"/>
      <c r="AA62" s="54"/>
      <c r="AB62" s="45" t="s">
        <v>263</v>
      </c>
      <c r="AC62" s="49" t="s">
        <v>263</v>
      </c>
      <c r="AD62" s="51" t="s">
        <v>207</v>
      </c>
      <c r="AE62" s="42"/>
      <c r="AF62" s="51"/>
    </row>
    <row r="63" spans="1:34" x14ac:dyDescent="0.25">
      <c r="A63" s="20" t="s">
        <v>225</v>
      </c>
      <c r="B63" s="35" t="s">
        <v>39</v>
      </c>
      <c r="C63" s="35" t="s">
        <v>226</v>
      </c>
      <c r="D63" s="20" t="s">
        <v>227</v>
      </c>
      <c r="E63" s="20" t="s">
        <v>228</v>
      </c>
      <c r="F63" s="20"/>
      <c r="G63" s="20" t="s">
        <v>546</v>
      </c>
      <c r="H63" s="20" t="s">
        <v>83</v>
      </c>
      <c r="I63" s="20"/>
      <c r="J63" s="19" t="s">
        <v>265</v>
      </c>
      <c r="K63" s="20" t="s">
        <v>241</v>
      </c>
      <c r="L63" s="20" t="s">
        <v>266</v>
      </c>
      <c r="M63" s="20"/>
      <c r="N63" s="20"/>
      <c r="O63" s="28" t="s">
        <v>459</v>
      </c>
      <c r="P63" s="28" t="s">
        <v>476</v>
      </c>
      <c r="Q63" s="28" t="s">
        <v>243</v>
      </c>
      <c r="R63" s="20" t="s">
        <v>104</v>
      </c>
      <c r="S63" s="20" t="s">
        <v>73</v>
      </c>
      <c r="T63" s="20" t="s">
        <v>234</v>
      </c>
      <c r="U63" s="20" t="s">
        <v>244</v>
      </c>
      <c r="V63" s="20"/>
      <c r="W63" s="20"/>
      <c r="X63" s="20"/>
      <c r="Y63" s="20"/>
      <c r="Z63" s="20"/>
      <c r="AA63" s="54"/>
      <c r="AB63" s="45" t="s">
        <v>267</v>
      </c>
      <c r="AC63" s="49" t="s">
        <v>267</v>
      </c>
      <c r="AD63" s="51" t="s">
        <v>207</v>
      </c>
      <c r="AE63" s="42"/>
      <c r="AF63" s="51"/>
    </row>
    <row r="64" spans="1:34" x14ac:dyDescent="0.25">
      <c r="A64" s="20" t="s">
        <v>225</v>
      </c>
      <c r="B64" s="35" t="s">
        <v>39</v>
      </c>
      <c r="C64" s="35" t="s">
        <v>226</v>
      </c>
      <c r="D64" s="20" t="s">
        <v>227</v>
      </c>
      <c r="E64" s="20" t="s">
        <v>228</v>
      </c>
      <c r="F64" s="20"/>
      <c r="G64" s="20" t="s">
        <v>547</v>
      </c>
      <c r="H64" s="20"/>
      <c r="I64" s="20"/>
      <c r="J64" s="19" t="s">
        <v>269</v>
      </c>
      <c r="K64" s="46" t="s">
        <v>250</v>
      </c>
      <c r="L64" s="20" t="s">
        <v>270</v>
      </c>
      <c r="M64" s="20"/>
      <c r="N64" s="20"/>
      <c r="O64" s="28" t="s">
        <v>459</v>
      </c>
      <c r="P64" s="28" t="s">
        <v>476</v>
      </c>
      <c r="Q64" s="28" t="s">
        <v>271</v>
      </c>
      <c r="R64" s="21"/>
      <c r="S64" s="20" t="s">
        <v>73</v>
      </c>
      <c r="T64" s="20" t="s">
        <v>234</v>
      </c>
      <c r="U64" s="20" t="s">
        <v>252</v>
      </c>
      <c r="V64" s="20"/>
      <c r="W64" s="20"/>
      <c r="X64" s="20"/>
      <c r="Y64" s="20"/>
      <c r="Z64" s="20"/>
      <c r="AA64" s="54"/>
      <c r="AB64" s="45" t="s">
        <v>272</v>
      </c>
      <c r="AC64" s="49" t="s">
        <v>272</v>
      </c>
      <c r="AD64" s="55" t="s">
        <v>62</v>
      </c>
      <c r="AE64" s="42"/>
      <c r="AF64" s="51"/>
    </row>
    <row r="65" spans="1:33" x14ac:dyDescent="0.25">
      <c r="A65" s="22" t="s">
        <v>225</v>
      </c>
      <c r="B65" s="36" t="s">
        <v>39</v>
      </c>
      <c r="C65" s="36" t="s">
        <v>226</v>
      </c>
      <c r="D65" s="22" t="s">
        <v>227</v>
      </c>
      <c r="E65" s="22" t="s">
        <v>228</v>
      </c>
      <c r="F65" s="22"/>
      <c r="G65" s="22" t="s">
        <v>548</v>
      </c>
      <c r="H65" s="22"/>
      <c r="I65" s="22"/>
      <c r="J65" s="31" t="s">
        <v>275</v>
      </c>
      <c r="K65" s="21" t="s">
        <v>256</v>
      </c>
      <c r="L65" s="21" t="s">
        <v>266</v>
      </c>
      <c r="M65" s="22"/>
      <c r="N65" s="22"/>
      <c r="O65" s="29" t="s">
        <v>459</v>
      </c>
      <c r="P65" s="29" t="s">
        <v>476</v>
      </c>
      <c r="Q65" s="67" t="s">
        <v>257</v>
      </c>
      <c r="R65" s="22"/>
      <c r="S65" s="22" t="s">
        <v>73</v>
      </c>
      <c r="T65" s="22" t="s">
        <v>234</v>
      </c>
      <c r="U65" s="22"/>
      <c r="V65" s="22"/>
      <c r="W65" s="22"/>
      <c r="X65" s="22"/>
      <c r="Y65" s="22"/>
      <c r="Z65" s="22"/>
      <c r="AA65" s="54"/>
      <c r="AB65" s="45" t="s">
        <v>276</v>
      </c>
      <c r="AC65" s="49" t="s">
        <v>276</v>
      </c>
      <c r="AD65" s="51" t="s">
        <v>207</v>
      </c>
      <c r="AE65" s="42"/>
      <c r="AF65" s="51"/>
    </row>
    <row r="66" spans="1:33" x14ac:dyDescent="0.25">
      <c r="A66" s="18" t="s">
        <v>65</v>
      </c>
      <c r="B66" s="32" t="s">
        <v>39</v>
      </c>
      <c r="C66" s="18" t="s">
        <v>66</v>
      </c>
      <c r="D66" s="32" t="s">
        <v>67</v>
      </c>
      <c r="E66" s="32" t="s">
        <v>68</v>
      </c>
      <c r="F66" s="32" t="s">
        <v>121</v>
      </c>
      <c r="G66" s="32"/>
      <c r="H66" s="32"/>
      <c r="I66" s="18" t="s">
        <v>42</v>
      </c>
      <c r="J66" s="32"/>
      <c r="K66" s="32" t="s">
        <v>70</v>
      </c>
      <c r="L66" s="32"/>
      <c r="M66" s="32"/>
      <c r="N66" s="32"/>
      <c r="O66" s="33" t="s">
        <v>459</v>
      </c>
      <c r="P66" s="33" t="s">
        <v>549</v>
      </c>
      <c r="Q66" s="33" t="s">
        <v>68</v>
      </c>
      <c r="R66" s="32" t="s">
        <v>72</v>
      </c>
      <c r="S66" s="32" t="s">
        <v>278</v>
      </c>
      <c r="T66" s="32">
        <v>650</v>
      </c>
      <c r="U66" s="32" t="s">
        <v>48</v>
      </c>
      <c r="V66" s="18" t="str">
        <f>$V$2&amp;$F$2&amp;"."&amp;F66</f>
        <v>192.168.50.12</v>
      </c>
      <c r="W66" s="32" t="str">
        <f>LOWER("N"&amp;TEXT(F66,"0000")&amp;"-"&amp;SUBSTITUTE(MID(P66,2,20)&amp;Q66,".","-"))</f>
        <v>n0012-pc1-cc1-k65001</v>
      </c>
      <c r="X66" s="32"/>
      <c r="Y66" s="32"/>
      <c r="Z66" s="32"/>
      <c r="AA66" s="54"/>
      <c r="AB66" s="45" t="s">
        <v>72</v>
      </c>
      <c r="AC66" s="49" t="s">
        <v>72</v>
      </c>
      <c r="AD66" s="51" t="s">
        <v>237</v>
      </c>
      <c r="AE66" s="42" t="s">
        <v>550</v>
      </c>
      <c r="AF66" s="55" t="s">
        <v>77</v>
      </c>
    </row>
    <row r="67" spans="1:33" x14ac:dyDescent="0.25">
      <c r="A67" s="35" t="s">
        <v>78</v>
      </c>
      <c r="B67" s="35" t="s">
        <v>39</v>
      </c>
      <c r="C67" s="35" t="s">
        <v>79</v>
      </c>
      <c r="D67" s="20" t="s">
        <v>80</v>
      </c>
      <c r="E67" s="20" t="s">
        <v>81</v>
      </c>
      <c r="F67" s="20"/>
      <c r="G67" s="20" t="s">
        <v>551</v>
      </c>
      <c r="H67" s="20"/>
      <c r="I67" s="20"/>
      <c r="J67" s="20" t="s">
        <v>83</v>
      </c>
      <c r="K67" s="20" t="s">
        <v>281</v>
      </c>
      <c r="L67" s="20"/>
      <c r="M67" s="20"/>
      <c r="N67" s="20"/>
      <c r="O67" s="28" t="s">
        <v>459</v>
      </c>
      <c r="P67" s="28" t="s">
        <v>549</v>
      </c>
      <c r="Q67" s="28" t="s">
        <v>282</v>
      </c>
      <c r="R67" s="20" t="s">
        <v>104</v>
      </c>
      <c r="S67" s="20" t="s">
        <v>278</v>
      </c>
      <c r="T67" s="20">
        <v>653</v>
      </c>
      <c r="U67" s="20" t="s">
        <v>283</v>
      </c>
      <c r="V67" s="20"/>
      <c r="W67" s="20"/>
      <c r="X67" s="20"/>
      <c r="Y67" s="20"/>
      <c r="Z67" s="20"/>
      <c r="AA67" s="54"/>
      <c r="AB67" s="45" t="s">
        <v>284</v>
      </c>
      <c r="AC67" s="49" t="s">
        <v>285</v>
      </c>
      <c r="AD67" s="21" t="s">
        <v>237</v>
      </c>
      <c r="AE67" s="42"/>
      <c r="AF67" s="51"/>
      <c r="AG67" t="s">
        <v>85</v>
      </c>
    </row>
    <row r="68" spans="1:33" x14ac:dyDescent="0.25">
      <c r="A68" s="35" t="s">
        <v>78</v>
      </c>
      <c r="B68" s="35" t="s">
        <v>39</v>
      </c>
      <c r="C68" s="35" t="s">
        <v>79</v>
      </c>
      <c r="D68" s="20" t="s">
        <v>80</v>
      </c>
      <c r="E68" s="20" t="s">
        <v>81</v>
      </c>
      <c r="F68" s="20"/>
      <c r="G68" s="20" t="s">
        <v>552</v>
      </c>
      <c r="H68" s="20"/>
      <c r="I68" s="20"/>
      <c r="J68" s="20" t="s">
        <v>87</v>
      </c>
      <c r="K68" s="20" t="s">
        <v>281</v>
      </c>
      <c r="L68" s="20"/>
      <c r="M68" s="20"/>
      <c r="N68" s="20"/>
      <c r="O68" s="28" t="s">
        <v>459</v>
      </c>
      <c r="P68" s="28" t="s">
        <v>549</v>
      </c>
      <c r="Q68" s="28" t="s">
        <v>287</v>
      </c>
      <c r="R68" s="20" t="s">
        <v>104</v>
      </c>
      <c r="S68" s="20" t="s">
        <v>278</v>
      </c>
      <c r="T68" s="20">
        <v>653</v>
      </c>
      <c r="U68" s="20" t="s">
        <v>283</v>
      </c>
      <c r="V68" s="20"/>
      <c r="W68" s="20"/>
      <c r="X68" s="20"/>
      <c r="Y68" s="20"/>
      <c r="Z68" s="20"/>
      <c r="AA68" s="54"/>
      <c r="AB68" s="45" t="s">
        <v>288</v>
      </c>
      <c r="AC68" s="49" t="s">
        <v>285</v>
      </c>
      <c r="AD68" s="21" t="s">
        <v>237</v>
      </c>
      <c r="AE68" s="42"/>
      <c r="AF68" s="51"/>
    </row>
    <row r="69" spans="1:33" x14ac:dyDescent="0.25">
      <c r="A69" s="35" t="s">
        <v>78</v>
      </c>
      <c r="B69" s="35" t="s">
        <v>39</v>
      </c>
      <c r="C69" s="35" t="s">
        <v>79</v>
      </c>
      <c r="D69" s="20" t="s">
        <v>80</v>
      </c>
      <c r="E69" s="20" t="s">
        <v>81</v>
      </c>
      <c r="F69" s="20"/>
      <c r="G69" s="20" t="s">
        <v>553</v>
      </c>
      <c r="H69" s="20"/>
      <c r="I69" s="20"/>
      <c r="J69" s="20" t="s">
        <v>89</v>
      </c>
      <c r="K69" s="20" t="s">
        <v>281</v>
      </c>
      <c r="L69" s="20"/>
      <c r="M69" s="20"/>
      <c r="N69" s="20"/>
      <c r="O69" s="28" t="s">
        <v>459</v>
      </c>
      <c r="P69" s="28" t="s">
        <v>549</v>
      </c>
      <c r="Q69" s="28" t="s">
        <v>290</v>
      </c>
      <c r="R69" s="20" t="s">
        <v>104</v>
      </c>
      <c r="S69" s="20" t="s">
        <v>278</v>
      </c>
      <c r="T69" s="20">
        <v>653</v>
      </c>
      <c r="U69" s="20" t="s">
        <v>283</v>
      </c>
      <c r="V69" s="20"/>
      <c r="W69" s="20"/>
      <c r="X69" s="20"/>
      <c r="Y69" s="20"/>
      <c r="Z69" s="20"/>
      <c r="AA69" s="54"/>
      <c r="AB69" s="45" t="s">
        <v>291</v>
      </c>
      <c r="AC69" s="49" t="s">
        <v>285</v>
      </c>
      <c r="AD69" s="21" t="s">
        <v>237</v>
      </c>
      <c r="AE69" s="42"/>
      <c r="AF69" s="51"/>
    </row>
    <row r="70" spans="1:33" x14ac:dyDescent="0.25">
      <c r="A70" s="35" t="s">
        <v>78</v>
      </c>
      <c r="B70" s="35" t="s">
        <v>39</v>
      </c>
      <c r="C70" s="35" t="s">
        <v>79</v>
      </c>
      <c r="D70" s="20" t="s">
        <v>80</v>
      </c>
      <c r="E70" s="20" t="s">
        <v>81</v>
      </c>
      <c r="F70" s="20"/>
      <c r="G70" s="20" t="s">
        <v>554</v>
      </c>
      <c r="H70" s="20"/>
      <c r="I70" s="20"/>
      <c r="J70" s="20" t="s">
        <v>91</v>
      </c>
      <c r="K70" s="20" t="s">
        <v>281</v>
      </c>
      <c r="L70" s="20"/>
      <c r="M70" s="20"/>
      <c r="N70" s="20"/>
      <c r="O70" s="28" t="s">
        <v>459</v>
      </c>
      <c r="P70" s="28" t="s">
        <v>549</v>
      </c>
      <c r="Q70" s="28" t="s">
        <v>293</v>
      </c>
      <c r="R70" s="20" t="s">
        <v>104</v>
      </c>
      <c r="S70" s="20" t="s">
        <v>278</v>
      </c>
      <c r="T70" s="20">
        <v>653</v>
      </c>
      <c r="U70" s="20" t="s">
        <v>283</v>
      </c>
      <c r="V70" s="20"/>
      <c r="W70" s="20"/>
      <c r="X70" s="20"/>
      <c r="Y70" s="20"/>
      <c r="Z70" s="20"/>
      <c r="AA70" s="54"/>
      <c r="AB70" s="45" t="s">
        <v>294</v>
      </c>
      <c r="AC70" s="49" t="s">
        <v>285</v>
      </c>
      <c r="AD70" s="21" t="s">
        <v>237</v>
      </c>
      <c r="AE70" s="42"/>
      <c r="AF70" s="51"/>
    </row>
    <row r="71" spans="1:33" x14ac:dyDescent="0.25">
      <c r="A71" s="35" t="s">
        <v>78</v>
      </c>
      <c r="B71" s="35" t="s">
        <v>39</v>
      </c>
      <c r="C71" s="35" t="s">
        <v>79</v>
      </c>
      <c r="D71" s="20" t="s">
        <v>80</v>
      </c>
      <c r="E71" s="20" t="s">
        <v>81</v>
      </c>
      <c r="F71" s="20"/>
      <c r="G71" s="20" t="s">
        <v>555</v>
      </c>
      <c r="H71" s="20"/>
      <c r="I71" s="20"/>
      <c r="J71" s="20" t="s">
        <v>69</v>
      </c>
      <c r="K71" s="20"/>
      <c r="L71" s="20"/>
      <c r="M71" s="20"/>
      <c r="N71" s="20"/>
      <c r="O71" s="28" t="s">
        <v>459</v>
      </c>
      <c r="P71" s="28" t="s">
        <v>549</v>
      </c>
      <c r="Q71" s="28"/>
      <c r="R71" s="20"/>
      <c r="S71" s="20" t="s">
        <v>278</v>
      </c>
      <c r="T71" s="20">
        <v>653</v>
      </c>
      <c r="U71" s="20"/>
      <c r="V71" s="20"/>
      <c r="W71" s="20"/>
      <c r="X71" s="20"/>
      <c r="Y71" s="20"/>
      <c r="Z71" s="20"/>
      <c r="AA71" s="54"/>
      <c r="AB71" s="45"/>
      <c r="AC71" s="49"/>
      <c r="AD71" s="51"/>
      <c r="AE71" s="42"/>
      <c r="AF71" s="51"/>
    </row>
    <row r="72" spans="1:33" x14ac:dyDescent="0.25">
      <c r="A72" s="35" t="s">
        <v>78</v>
      </c>
      <c r="B72" s="35" t="s">
        <v>39</v>
      </c>
      <c r="C72" s="35" t="s">
        <v>79</v>
      </c>
      <c r="D72" s="20" t="s">
        <v>80</v>
      </c>
      <c r="E72" s="20" t="s">
        <v>81</v>
      </c>
      <c r="F72" s="20"/>
      <c r="G72" s="20" t="s">
        <v>556</v>
      </c>
      <c r="H72" s="20"/>
      <c r="I72" s="20"/>
      <c r="J72" s="20" t="s">
        <v>94</v>
      </c>
      <c r="K72" s="20"/>
      <c r="L72" s="20"/>
      <c r="M72" s="20"/>
      <c r="N72" s="20"/>
      <c r="O72" s="28" t="s">
        <v>459</v>
      </c>
      <c r="P72" s="28" t="s">
        <v>549</v>
      </c>
      <c r="Q72" s="28"/>
      <c r="R72" s="20"/>
      <c r="S72" s="20" t="s">
        <v>278</v>
      </c>
      <c r="T72" s="20">
        <v>653</v>
      </c>
      <c r="U72" s="20"/>
      <c r="V72" s="20"/>
      <c r="W72" s="20"/>
      <c r="X72" s="20"/>
      <c r="Y72" s="20"/>
      <c r="Z72" s="20"/>
      <c r="AA72" s="54"/>
      <c r="AB72" s="45"/>
      <c r="AC72" s="49"/>
      <c r="AD72" s="51"/>
      <c r="AE72" s="42"/>
      <c r="AF72" s="51"/>
    </row>
    <row r="73" spans="1:33" x14ac:dyDescent="0.25">
      <c r="A73" s="35" t="s">
        <v>78</v>
      </c>
      <c r="B73" s="35" t="s">
        <v>39</v>
      </c>
      <c r="C73" s="35" t="s">
        <v>79</v>
      </c>
      <c r="D73" s="20" t="s">
        <v>80</v>
      </c>
      <c r="E73" s="20" t="s">
        <v>81</v>
      </c>
      <c r="F73" s="20"/>
      <c r="G73" s="20" t="s">
        <v>557</v>
      </c>
      <c r="H73" s="20"/>
      <c r="I73" s="20"/>
      <c r="J73" s="20" t="s">
        <v>96</v>
      </c>
      <c r="K73" s="20"/>
      <c r="L73" s="20"/>
      <c r="M73" s="20"/>
      <c r="N73" s="20"/>
      <c r="O73" s="28" t="s">
        <v>459</v>
      </c>
      <c r="P73" s="28" t="s">
        <v>549</v>
      </c>
      <c r="Q73" s="28"/>
      <c r="R73" s="20"/>
      <c r="S73" s="20" t="s">
        <v>278</v>
      </c>
      <c r="T73" s="20">
        <v>653</v>
      </c>
      <c r="U73" s="20"/>
      <c r="V73" s="20"/>
      <c r="W73" s="20"/>
      <c r="X73" s="20"/>
      <c r="Y73" s="20"/>
      <c r="Z73" s="20"/>
      <c r="AA73" s="54"/>
      <c r="AB73" s="45"/>
      <c r="AC73" s="49"/>
      <c r="AD73" s="51"/>
      <c r="AE73" s="42"/>
      <c r="AF73" s="51"/>
    </row>
    <row r="74" spans="1:33" x14ac:dyDescent="0.25">
      <c r="A74" s="35" t="s">
        <v>78</v>
      </c>
      <c r="B74" s="35" t="s">
        <v>39</v>
      </c>
      <c r="C74" s="35" t="s">
        <v>79</v>
      </c>
      <c r="D74" s="20" t="s">
        <v>80</v>
      </c>
      <c r="E74" s="20" t="s">
        <v>81</v>
      </c>
      <c r="F74" s="20"/>
      <c r="G74" s="20" t="s">
        <v>558</v>
      </c>
      <c r="H74" s="20"/>
      <c r="I74" s="20"/>
      <c r="J74" s="20" t="s">
        <v>98</v>
      </c>
      <c r="K74" s="20"/>
      <c r="L74" s="20"/>
      <c r="M74" s="20"/>
      <c r="N74" s="20"/>
      <c r="O74" s="28" t="s">
        <v>459</v>
      </c>
      <c r="P74" s="28" t="s">
        <v>549</v>
      </c>
      <c r="Q74" s="28"/>
      <c r="R74" s="20"/>
      <c r="S74" s="20" t="s">
        <v>278</v>
      </c>
      <c r="T74" s="20">
        <v>653</v>
      </c>
      <c r="U74" s="20"/>
      <c r="V74" s="20"/>
      <c r="W74" s="20"/>
      <c r="X74" s="20"/>
      <c r="Y74" s="20"/>
      <c r="Z74" s="20"/>
      <c r="AA74" s="54"/>
      <c r="AB74" s="45"/>
      <c r="AC74" s="49"/>
      <c r="AD74" s="51"/>
      <c r="AE74" s="42"/>
      <c r="AF74" s="51"/>
    </row>
    <row r="75" spans="1:33" x14ac:dyDescent="0.25">
      <c r="A75" s="35" t="s">
        <v>78</v>
      </c>
      <c r="B75" s="35" t="s">
        <v>39</v>
      </c>
      <c r="C75" s="35" t="s">
        <v>79</v>
      </c>
      <c r="D75" s="20" t="s">
        <v>80</v>
      </c>
      <c r="E75" s="20" t="s">
        <v>81</v>
      </c>
      <c r="F75" s="20"/>
      <c r="G75" s="20" t="s">
        <v>559</v>
      </c>
      <c r="H75" s="20" t="s">
        <v>83</v>
      </c>
      <c r="I75" s="20"/>
      <c r="J75" s="20" t="s">
        <v>100</v>
      </c>
      <c r="K75" s="20" t="s">
        <v>281</v>
      </c>
      <c r="L75" s="20" t="s">
        <v>300</v>
      </c>
      <c r="M75" s="20"/>
      <c r="N75" s="20"/>
      <c r="O75" s="28" t="s">
        <v>459</v>
      </c>
      <c r="P75" s="28" t="s">
        <v>549</v>
      </c>
      <c r="Q75" s="28" t="s">
        <v>301</v>
      </c>
      <c r="R75" s="20" t="s">
        <v>104</v>
      </c>
      <c r="S75" s="20" t="s">
        <v>278</v>
      </c>
      <c r="T75" s="20">
        <v>654</v>
      </c>
      <c r="U75" s="20" t="s">
        <v>283</v>
      </c>
      <c r="V75" s="20"/>
      <c r="W75" s="20"/>
      <c r="X75" s="20"/>
      <c r="Y75" s="20"/>
      <c r="Z75" s="20"/>
      <c r="AA75" s="54"/>
      <c r="AB75" s="45" t="s">
        <v>285</v>
      </c>
      <c r="AC75" s="49" t="s">
        <v>285</v>
      </c>
      <c r="AD75" s="51" t="s">
        <v>207</v>
      </c>
      <c r="AE75" s="19"/>
      <c r="AF75" s="19"/>
    </row>
    <row r="76" spans="1:33" x14ac:dyDescent="0.25">
      <c r="A76" s="35" t="s">
        <v>78</v>
      </c>
      <c r="B76" s="35" t="s">
        <v>39</v>
      </c>
      <c r="C76" s="35" t="s">
        <v>79</v>
      </c>
      <c r="D76" s="20" t="s">
        <v>80</v>
      </c>
      <c r="E76" s="20" t="s">
        <v>81</v>
      </c>
      <c r="F76" s="20"/>
      <c r="G76" s="20" t="s">
        <v>560</v>
      </c>
      <c r="H76" s="20" t="s">
        <v>83</v>
      </c>
      <c r="I76" s="20"/>
      <c r="J76" s="20" t="s">
        <v>57</v>
      </c>
      <c r="K76" s="20" t="s">
        <v>281</v>
      </c>
      <c r="L76" s="20" t="s">
        <v>303</v>
      </c>
      <c r="M76" s="20"/>
      <c r="N76" s="20"/>
      <c r="O76" s="28" t="s">
        <v>459</v>
      </c>
      <c r="P76" s="28" t="s">
        <v>549</v>
      </c>
      <c r="Q76" s="28" t="s">
        <v>304</v>
      </c>
      <c r="R76" s="20" t="s">
        <v>104</v>
      </c>
      <c r="S76" s="20" t="s">
        <v>278</v>
      </c>
      <c r="T76" s="20" t="s">
        <v>305</v>
      </c>
      <c r="U76" s="20" t="s">
        <v>283</v>
      </c>
      <c r="V76" s="20"/>
      <c r="W76" s="20"/>
      <c r="X76" s="20"/>
      <c r="Y76" s="20"/>
      <c r="Z76" s="20"/>
      <c r="AA76" s="54"/>
      <c r="AB76" s="45" t="s">
        <v>285</v>
      </c>
      <c r="AC76" s="49" t="s">
        <v>285</v>
      </c>
      <c r="AD76" s="51" t="s">
        <v>62</v>
      </c>
      <c r="AE76" s="19"/>
      <c r="AF76" s="19"/>
    </row>
    <row r="77" spans="1:33" x14ac:dyDescent="0.25">
      <c r="A77" s="35" t="s">
        <v>78</v>
      </c>
      <c r="B77" s="35" t="s">
        <v>39</v>
      </c>
      <c r="C77" s="35" t="s">
        <v>79</v>
      </c>
      <c r="D77" s="20" t="s">
        <v>80</v>
      </c>
      <c r="E77" s="20" t="s">
        <v>81</v>
      </c>
      <c r="F77" s="20"/>
      <c r="G77" s="20" t="s">
        <v>561</v>
      </c>
      <c r="H77" s="20"/>
      <c r="I77" s="20"/>
      <c r="J77" s="20" t="s">
        <v>115</v>
      </c>
      <c r="K77" s="20"/>
      <c r="L77" s="20"/>
      <c r="M77" s="20"/>
      <c r="N77" s="20"/>
      <c r="O77" s="28" t="s">
        <v>459</v>
      </c>
      <c r="P77" s="28" t="s">
        <v>549</v>
      </c>
      <c r="Q77" s="28"/>
      <c r="R77" s="20"/>
      <c r="S77" s="20" t="s">
        <v>278</v>
      </c>
      <c r="T77" s="20">
        <v>654</v>
      </c>
      <c r="U77" s="20"/>
      <c r="V77" s="20"/>
      <c r="W77" s="20"/>
      <c r="X77" s="20"/>
      <c r="Y77" s="20"/>
      <c r="Z77" s="20"/>
      <c r="AA77" s="54"/>
      <c r="AB77" s="45"/>
      <c r="AC77" s="49"/>
      <c r="AD77" s="51"/>
      <c r="AE77" s="42"/>
      <c r="AF77" s="51"/>
    </row>
    <row r="78" spans="1:33" x14ac:dyDescent="0.25">
      <c r="A78" s="35" t="s">
        <v>78</v>
      </c>
      <c r="B78" s="35" t="s">
        <v>39</v>
      </c>
      <c r="C78" s="35" t="s">
        <v>79</v>
      </c>
      <c r="D78" s="20" t="s">
        <v>80</v>
      </c>
      <c r="E78" s="20" t="s">
        <v>81</v>
      </c>
      <c r="F78" s="20"/>
      <c r="G78" s="20" t="s">
        <v>562</v>
      </c>
      <c r="H78" s="20"/>
      <c r="I78" s="20"/>
      <c r="J78" s="20" t="s">
        <v>121</v>
      </c>
      <c r="K78" s="20"/>
      <c r="L78" s="20"/>
      <c r="M78" s="20"/>
      <c r="N78" s="20"/>
      <c r="O78" s="28" t="s">
        <v>459</v>
      </c>
      <c r="P78" s="28" t="s">
        <v>549</v>
      </c>
      <c r="Q78" s="28"/>
      <c r="R78" s="20"/>
      <c r="S78" s="20" t="s">
        <v>278</v>
      </c>
      <c r="T78" s="20">
        <v>654</v>
      </c>
      <c r="U78" s="20"/>
      <c r="V78" s="20"/>
      <c r="W78" s="20"/>
      <c r="X78" s="20"/>
      <c r="Y78" s="20"/>
      <c r="Z78" s="20"/>
      <c r="AA78" s="54"/>
      <c r="AB78" s="45"/>
      <c r="AC78" s="49"/>
      <c r="AD78" s="51"/>
      <c r="AE78" s="42"/>
      <c r="AF78" s="51"/>
    </row>
    <row r="79" spans="1:33" x14ac:dyDescent="0.25">
      <c r="A79" s="35" t="s">
        <v>78</v>
      </c>
      <c r="B79" s="35" t="s">
        <v>39</v>
      </c>
      <c r="C79" s="35" t="s">
        <v>79</v>
      </c>
      <c r="D79" s="20" t="s">
        <v>80</v>
      </c>
      <c r="E79" s="20" t="s">
        <v>81</v>
      </c>
      <c r="F79" s="20"/>
      <c r="G79" s="20" t="s">
        <v>563</v>
      </c>
      <c r="H79" s="20"/>
      <c r="I79" s="20"/>
      <c r="J79" s="20" t="s">
        <v>127</v>
      </c>
      <c r="K79" s="20"/>
      <c r="L79" s="20"/>
      <c r="M79" s="20"/>
      <c r="N79" s="20"/>
      <c r="O79" s="28" t="s">
        <v>459</v>
      </c>
      <c r="P79" s="28" t="s">
        <v>549</v>
      </c>
      <c r="Q79" s="28"/>
      <c r="R79" s="20"/>
      <c r="S79" s="20" t="s">
        <v>278</v>
      </c>
      <c r="T79" s="20">
        <v>654</v>
      </c>
      <c r="U79" s="20"/>
      <c r="V79" s="20"/>
      <c r="W79" s="20"/>
      <c r="X79" s="20"/>
      <c r="Y79" s="20"/>
      <c r="Z79" s="20"/>
      <c r="AA79" s="54"/>
      <c r="AB79" s="45"/>
      <c r="AC79" s="49"/>
      <c r="AD79" s="51"/>
      <c r="AE79" s="42"/>
      <c r="AF79" s="51"/>
    </row>
    <row r="80" spans="1:33" x14ac:dyDescent="0.25">
      <c r="A80" s="35" t="s">
        <v>78</v>
      </c>
      <c r="B80" s="35" t="s">
        <v>39</v>
      </c>
      <c r="C80" s="35" t="s">
        <v>79</v>
      </c>
      <c r="D80" s="20" t="s">
        <v>80</v>
      </c>
      <c r="E80" s="20" t="s">
        <v>81</v>
      </c>
      <c r="F80" s="20"/>
      <c r="G80" s="20" t="s">
        <v>564</v>
      </c>
      <c r="H80" s="20"/>
      <c r="I80" s="20"/>
      <c r="J80" s="20" t="s">
        <v>133</v>
      </c>
      <c r="K80" s="20"/>
      <c r="L80" s="20"/>
      <c r="M80" s="20"/>
      <c r="N80" s="20"/>
      <c r="O80" s="28" t="s">
        <v>459</v>
      </c>
      <c r="P80" s="28" t="s">
        <v>549</v>
      </c>
      <c r="Q80" s="28"/>
      <c r="R80" s="20"/>
      <c r="S80" s="20" t="s">
        <v>278</v>
      </c>
      <c r="T80" s="20">
        <v>654</v>
      </c>
      <c r="U80" s="20"/>
      <c r="V80" s="20"/>
      <c r="W80" s="20"/>
      <c r="X80" s="20"/>
      <c r="Y80" s="20"/>
      <c r="Z80" s="20"/>
      <c r="AA80" s="54"/>
      <c r="AB80" s="45"/>
      <c r="AC80" s="49"/>
      <c r="AD80" s="51"/>
      <c r="AE80" s="42"/>
      <c r="AF80" s="51"/>
    </row>
    <row r="81" spans="1:34" x14ac:dyDescent="0.25">
      <c r="A81" s="35" t="s">
        <v>78</v>
      </c>
      <c r="B81" s="35" t="s">
        <v>39</v>
      </c>
      <c r="C81" s="35" t="s">
        <v>79</v>
      </c>
      <c r="D81" s="20" t="s">
        <v>80</v>
      </c>
      <c r="E81" s="20" t="s">
        <v>81</v>
      </c>
      <c r="F81" s="20"/>
      <c r="G81" s="20" t="s">
        <v>565</v>
      </c>
      <c r="H81" s="20"/>
      <c r="I81" s="20"/>
      <c r="J81" s="20" t="s">
        <v>139</v>
      </c>
      <c r="K81" s="20" t="s">
        <v>311</v>
      </c>
      <c r="L81" s="20" t="s">
        <v>312</v>
      </c>
      <c r="M81" s="20"/>
      <c r="N81" s="20"/>
      <c r="O81" s="28" t="s">
        <v>459</v>
      </c>
      <c r="P81" s="28" t="s">
        <v>549</v>
      </c>
      <c r="Q81" s="28" t="s">
        <v>313</v>
      </c>
      <c r="R81" s="20"/>
      <c r="S81" s="20" t="s">
        <v>278</v>
      </c>
      <c r="T81" s="20" t="s">
        <v>314</v>
      </c>
      <c r="U81" s="20"/>
      <c r="V81" s="20"/>
      <c r="W81" s="20"/>
      <c r="X81" s="20"/>
      <c r="Y81" s="20"/>
      <c r="Z81" s="20"/>
      <c r="AA81" s="54"/>
      <c r="AB81" s="45" t="s">
        <v>315</v>
      </c>
      <c r="AC81" s="49" t="s">
        <v>315</v>
      </c>
      <c r="AD81" s="51" t="s">
        <v>207</v>
      </c>
      <c r="AE81" s="42" t="s">
        <v>316</v>
      </c>
      <c r="AF81" s="51" t="s">
        <v>108</v>
      </c>
      <c r="AH81" s="75" t="s">
        <v>113</v>
      </c>
    </row>
    <row r="82" spans="1:34" x14ac:dyDescent="0.25">
      <c r="A82" s="36" t="s">
        <v>78</v>
      </c>
      <c r="B82" s="36" t="s">
        <v>39</v>
      </c>
      <c r="C82" s="36" t="s">
        <v>79</v>
      </c>
      <c r="D82" s="22" t="s">
        <v>80</v>
      </c>
      <c r="E82" s="22" t="s">
        <v>81</v>
      </c>
      <c r="F82" s="22"/>
      <c r="G82" s="22" t="s">
        <v>566</v>
      </c>
      <c r="H82" s="22"/>
      <c r="I82" s="22"/>
      <c r="J82" s="22" t="s">
        <v>144</v>
      </c>
      <c r="K82" s="22" t="s">
        <v>311</v>
      </c>
      <c r="L82" s="22" t="s">
        <v>318</v>
      </c>
      <c r="M82" s="22"/>
      <c r="N82" s="22"/>
      <c r="O82" s="29" t="s">
        <v>459</v>
      </c>
      <c r="P82" s="29" t="s">
        <v>549</v>
      </c>
      <c r="Q82" s="29" t="s">
        <v>313</v>
      </c>
      <c r="R82" s="22"/>
      <c r="S82" s="22" t="s">
        <v>278</v>
      </c>
      <c r="T82" s="22" t="s">
        <v>314</v>
      </c>
      <c r="U82" s="22"/>
      <c r="V82" s="22"/>
      <c r="W82" s="22"/>
      <c r="X82" s="22"/>
      <c r="Y82" s="22"/>
      <c r="Z82" s="22"/>
      <c r="AA82" s="54"/>
      <c r="AB82" s="45" t="s">
        <v>319</v>
      </c>
      <c r="AC82" s="49" t="s">
        <v>319</v>
      </c>
      <c r="AD82" s="51" t="s">
        <v>207</v>
      </c>
      <c r="AE82" s="42" t="s">
        <v>316</v>
      </c>
      <c r="AF82" s="51" t="s">
        <v>113</v>
      </c>
      <c r="AH82" s="75" t="s">
        <v>113</v>
      </c>
    </row>
    <row r="83" spans="1:34" x14ac:dyDescent="0.25">
      <c r="A83" s="20" t="s">
        <v>198</v>
      </c>
      <c r="B83" s="35" t="s">
        <v>39</v>
      </c>
      <c r="C83" s="35" t="s">
        <v>199</v>
      </c>
      <c r="D83" s="20" t="s">
        <v>200</v>
      </c>
      <c r="E83" s="20" t="s">
        <v>201</v>
      </c>
      <c r="F83" s="20"/>
      <c r="G83" s="20" t="s">
        <v>567</v>
      </c>
      <c r="H83" s="20"/>
      <c r="I83" s="20"/>
      <c r="J83" s="20" t="s">
        <v>83</v>
      </c>
      <c r="K83" s="20"/>
      <c r="L83" s="20" t="s">
        <v>321</v>
      </c>
      <c r="M83" s="20"/>
      <c r="N83" s="20"/>
      <c r="O83" s="28" t="s">
        <v>459</v>
      </c>
      <c r="P83" s="20" t="s">
        <v>549</v>
      </c>
      <c r="Q83" s="28" t="s">
        <v>322</v>
      </c>
      <c r="R83" s="20"/>
      <c r="S83" s="20" t="s">
        <v>278</v>
      </c>
      <c r="T83" s="19" t="s">
        <v>323</v>
      </c>
      <c r="U83" s="20"/>
      <c r="V83" s="20"/>
      <c r="W83" s="20"/>
      <c r="X83" s="20"/>
      <c r="Y83" s="20"/>
      <c r="Z83" s="20"/>
      <c r="AA83" s="54"/>
      <c r="AB83" s="45" t="s">
        <v>324</v>
      </c>
      <c r="AC83" s="49" t="s">
        <v>324</v>
      </c>
      <c r="AD83" s="51" t="s">
        <v>207</v>
      </c>
      <c r="AE83" s="42"/>
      <c r="AF83" s="51"/>
    </row>
    <row r="84" spans="1:34" x14ac:dyDescent="0.25">
      <c r="A84" s="20" t="s">
        <v>198</v>
      </c>
      <c r="B84" s="35" t="s">
        <v>39</v>
      </c>
      <c r="C84" s="35" t="s">
        <v>199</v>
      </c>
      <c r="D84" s="20" t="s">
        <v>200</v>
      </c>
      <c r="E84" s="20" t="s">
        <v>201</v>
      </c>
      <c r="F84" s="20"/>
      <c r="G84" s="20" t="s">
        <v>568</v>
      </c>
      <c r="H84" s="20"/>
      <c r="I84" s="20"/>
      <c r="J84" s="20" t="s">
        <v>87</v>
      </c>
      <c r="K84" s="20"/>
      <c r="L84" s="20" t="s">
        <v>326</v>
      </c>
      <c r="M84" s="20"/>
      <c r="N84" s="20"/>
      <c r="O84" s="28" t="s">
        <v>459</v>
      </c>
      <c r="P84" s="20" t="s">
        <v>549</v>
      </c>
      <c r="Q84" s="28" t="s">
        <v>327</v>
      </c>
      <c r="R84" s="20"/>
      <c r="S84" s="20" t="s">
        <v>278</v>
      </c>
      <c r="T84" s="19" t="s">
        <v>323</v>
      </c>
      <c r="U84" s="20"/>
      <c r="V84" s="20"/>
      <c r="W84" s="20"/>
      <c r="X84" s="20"/>
      <c r="Y84" s="20"/>
      <c r="Z84" s="20"/>
      <c r="AA84" s="54"/>
      <c r="AB84" s="45" t="s">
        <v>324</v>
      </c>
      <c r="AC84" s="49" t="s">
        <v>324</v>
      </c>
      <c r="AD84" s="51" t="s">
        <v>62</v>
      </c>
      <c r="AE84" s="42"/>
      <c r="AF84" s="51"/>
    </row>
    <row r="85" spans="1:34" x14ac:dyDescent="0.25">
      <c r="A85" s="20" t="s">
        <v>198</v>
      </c>
      <c r="B85" s="35" t="s">
        <v>39</v>
      </c>
      <c r="C85" s="35" t="s">
        <v>199</v>
      </c>
      <c r="D85" s="20" t="s">
        <v>200</v>
      </c>
      <c r="E85" s="20" t="s">
        <v>201</v>
      </c>
      <c r="F85" s="20"/>
      <c r="G85" s="20" t="s">
        <v>569</v>
      </c>
      <c r="H85" s="20"/>
      <c r="I85" s="20"/>
      <c r="J85" s="20" t="s">
        <v>89</v>
      </c>
      <c r="K85" s="20"/>
      <c r="L85" s="20"/>
      <c r="M85" s="20"/>
      <c r="N85" s="20"/>
      <c r="O85" s="28" t="s">
        <v>459</v>
      </c>
      <c r="P85" s="28" t="s">
        <v>549</v>
      </c>
      <c r="Q85" s="28"/>
      <c r="R85" s="20"/>
      <c r="S85" s="20" t="s">
        <v>278</v>
      </c>
      <c r="T85" s="20">
        <v>655</v>
      </c>
      <c r="U85" s="20"/>
      <c r="V85" s="20"/>
      <c r="W85" s="20"/>
      <c r="X85" s="20"/>
      <c r="Y85" s="20"/>
      <c r="Z85" s="20"/>
      <c r="AA85" s="54"/>
      <c r="AB85" s="45"/>
      <c r="AC85" s="49"/>
      <c r="AD85" s="51"/>
      <c r="AE85" s="42"/>
      <c r="AF85" s="51"/>
    </row>
    <row r="86" spans="1:34" x14ac:dyDescent="0.25">
      <c r="A86" s="20" t="s">
        <v>198</v>
      </c>
      <c r="B86" s="35" t="s">
        <v>39</v>
      </c>
      <c r="C86" s="35" t="s">
        <v>199</v>
      </c>
      <c r="D86" s="20" t="s">
        <v>200</v>
      </c>
      <c r="E86" s="20" t="s">
        <v>201</v>
      </c>
      <c r="F86" s="20"/>
      <c r="G86" s="20" t="s">
        <v>570</v>
      </c>
      <c r="H86" s="20"/>
      <c r="I86" s="20"/>
      <c r="J86" s="20" t="s">
        <v>91</v>
      </c>
      <c r="K86" s="20"/>
      <c r="L86" s="20"/>
      <c r="M86" s="20"/>
      <c r="N86" s="20"/>
      <c r="O86" s="28" t="s">
        <v>459</v>
      </c>
      <c r="P86" s="28" t="s">
        <v>549</v>
      </c>
      <c r="Q86" s="28"/>
      <c r="R86" s="20"/>
      <c r="S86" s="20" t="s">
        <v>278</v>
      </c>
      <c r="T86" s="20">
        <v>655</v>
      </c>
      <c r="U86" s="20"/>
      <c r="V86" s="20"/>
      <c r="W86" s="20"/>
      <c r="X86" s="20"/>
      <c r="Y86" s="20"/>
      <c r="Z86" s="20"/>
      <c r="AA86" s="54"/>
      <c r="AB86" s="45"/>
      <c r="AC86" s="49"/>
      <c r="AD86" s="51"/>
      <c r="AE86" s="42"/>
      <c r="AF86" s="51"/>
    </row>
    <row r="87" spans="1:34" x14ac:dyDescent="0.25">
      <c r="A87" s="20" t="s">
        <v>198</v>
      </c>
      <c r="B87" s="35" t="s">
        <v>39</v>
      </c>
      <c r="C87" s="35" t="s">
        <v>199</v>
      </c>
      <c r="D87" s="20" t="s">
        <v>200</v>
      </c>
      <c r="E87" s="20" t="s">
        <v>201</v>
      </c>
      <c r="F87" s="20"/>
      <c r="G87" s="20" t="s">
        <v>571</v>
      </c>
      <c r="H87" s="20"/>
      <c r="I87" s="20"/>
      <c r="J87" s="20" t="s">
        <v>69</v>
      </c>
      <c r="K87" s="20"/>
      <c r="L87" s="20"/>
      <c r="M87" s="20"/>
      <c r="N87" s="20"/>
      <c r="O87" s="28" t="s">
        <v>459</v>
      </c>
      <c r="P87" s="28" t="s">
        <v>549</v>
      </c>
      <c r="Q87" s="28"/>
      <c r="R87" s="20"/>
      <c r="S87" s="20" t="s">
        <v>278</v>
      </c>
      <c r="T87" s="20">
        <v>655</v>
      </c>
      <c r="U87" s="20"/>
      <c r="V87" s="20"/>
      <c r="W87" s="20"/>
      <c r="X87" s="20"/>
      <c r="Y87" s="20"/>
      <c r="Z87" s="20"/>
      <c r="AA87" s="54"/>
      <c r="AB87" s="45"/>
      <c r="AC87" s="49"/>
      <c r="AD87" s="51"/>
      <c r="AE87" s="42"/>
      <c r="AF87" s="51"/>
    </row>
    <row r="88" spans="1:34" x14ac:dyDescent="0.25">
      <c r="A88" s="20" t="s">
        <v>198</v>
      </c>
      <c r="B88" s="35" t="s">
        <v>39</v>
      </c>
      <c r="C88" s="35" t="s">
        <v>199</v>
      </c>
      <c r="D88" s="20" t="s">
        <v>200</v>
      </c>
      <c r="E88" s="20" t="s">
        <v>201</v>
      </c>
      <c r="F88" s="20"/>
      <c r="G88" s="20" t="s">
        <v>572</v>
      </c>
      <c r="H88" s="20"/>
      <c r="I88" s="20"/>
      <c r="J88" s="20" t="s">
        <v>94</v>
      </c>
      <c r="K88" s="20"/>
      <c r="L88" s="20"/>
      <c r="M88" s="20"/>
      <c r="N88" s="20"/>
      <c r="O88" s="28" t="s">
        <v>459</v>
      </c>
      <c r="P88" s="28" t="s">
        <v>549</v>
      </c>
      <c r="Q88" s="28"/>
      <c r="R88" s="20"/>
      <c r="S88" s="20" t="s">
        <v>278</v>
      </c>
      <c r="T88" s="20">
        <v>655</v>
      </c>
      <c r="U88" s="20"/>
      <c r="V88" s="20"/>
      <c r="W88" s="20"/>
      <c r="X88" s="20"/>
      <c r="Y88" s="20"/>
      <c r="Z88" s="20"/>
      <c r="AA88" s="54"/>
      <c r="AB88" s="45"/>
      <c r="AC88" s="49"/>
      <c r="AD88" s="51"/>
      <c r="AE88" s="42"/>
      <c r="AF88" s="51"/>
    </row>
    <row r="89" spans="1:34" x14ac:dyDescent="0.25">
      <c r="A89" s="20" t="s">
        <v>198</v>
      </c>
      <c r="B89" s="35" t="s">
        <v>39</v>
      </c>
      <c r="C89" s="35" t="s">
        <v>199</v>
      </c>
      <c r="D89" s="20" t="s">
        <v>200</v>
      </c>
      <c r="E89" s="20" t="s">
        <v>201</v>
      </c>
      <c r="F89" s="20"/>
      <c r="G89" s="20" t="s">
        <v>573</v>
      </c>
      <c r="H89" s="20"/>
      <c r="I89" s="20"/>
      <c r="J89" s="20" t="s">
        <v>96</v>
      </c>
      <c r="K89" s="20"/>
      <c r="L89" s="20"/>
      <c r="M89" s="20"/>
      <c r="N89" s="20"/>
      <c r="O89" s="28" t="s">
        <v>459</v>
      </c>
      <c r="P89" s="28" t="s">
        <v>549</v>
      </c>
      <c r="Q89" s="28"/>
      <c r="R89" s="20"/>
      <c r="S89" s="20" t="s">
        <v>278</v>
      </c>
      <c r="T89" s="20">
        <v>655</v>
      </c>
      <c r="U89" s="20"/>
      <c r="V89" s="20"/>
      <c r="W89" s="20"/>
      <c r="X89" s="20"/>
      <c r="Y89" s="20"/>
      <c r="Z89" s="20"/>
      <c r="AA89" s="54"/>
      <c r="AB89" s="45"/>
      <c r="AC89" s="49"/>
      <c r="AD89" s="51"/>
      <c r="AE89" s="42"/>
      <c r="AF89" s="51"/>
    </row>
    <row r="90" spans="1:34" x14ac:dyDescent="0.25">
      <c r="A90" s="20" t="s">
        <v>198</v>
      </c>
      <c r="B90" s="35" t="s">
        <v>39</v>
      </c>
      <c r="C90" s="35" t="s">
        <v>199</v>
      </c>
      <c r="D90" s="20" t="s">
        <v>200</v>
      </c>
      <c r="E90" s="20" t="s">
        <v>201</v>
      </c>
      <c r="F90" s="20"/>
      <c r="G90" s="20" t="s">
        <v>574</v>
      </c>
      <c r="H90" s="20"/>
      <c r="I90" s="20"/>
      <c r="J90" s="20" t="s">
        <v>98</v>
      </c>
      <c r="K90" s="20"/>
      <c r="L90" s="20"/>
      <c r="M90" s="20"/>
      <c r="N90" s="20"/>
      <c r="O90" s="28" t="s">
        <v>459</v>
      </c>
      <c r="P90" s="28" t="s">
        <v>549</v>
      </c>
      <c r="Q90" s="28"/>
      <c r="R90" s="20"/>
      <c r="S90" s="20" t="s">
        <v>278</v>
      </c>
      <c r="T90" s="20">
        <v>655</v>
      </c>
      <c r="U90" s="20"/>
      <c r="V90" s="20"/>
      <c r="W90" s="20"/>
      <c r="X90" s="20"/>
      <c r="Y90" s="20"/>
      <c r="Z90" s="20"/>
      <c r="AA90" s="54"/>
      <c r="AB90" s="45"/>
      <c r="AC90" s="49"/>
      <c r="AD90" s="51"/>
      <c r="AE90" s="42"/>
      <c r="AF90" s="51"/>
    </row>
    <row r="91" spans="1:34" x14ac:dyDescent="0.25">
      <c r="A91" s="20" t="s">
        <v>198</v>
      </c>
      <c r="B91" s="35" t="s">
        <v>39</v>
      </c>
      <c r="C91" s="35" t="s">
        <v>199</v>
      </c>
      <c r="D91" s="20" t="s">
        <v>200</v>
      </c>
      <c r="E91" s="20" t="s">
        <v>201</v>
      </c>
      <c r="F91" s="20"/>
      <c r="G91" s="20" t="s">
        <v>575</v>
      </c>
      <c r="H91" s="20"/>
      <c r="I91" s="20"/>
      <c r="J91" s="20" t="s">
        <v>100</v>
      </c>
      <c r="K91" s="20"/>
      <c r="L91" s="20"/>
      <c r="M91" s="20"/>
      <c r="N91" s="20"/>
      <c r="O91" s="28" t="s">
        <v>459</v>
      </c>
      <c r="P91" s="28" t="s">
        <v>549</v>
      </c>
      <c r="Q91" s="28"/>
      <c r="R91" s="20"/>
      <c r="S91" s="20" t="s">
        <v>278</v>
      </c>
      <c r="T91" s="20">
        <v>656</v>
      </c>
      <c r="U91" s="20"/>
      <c r="V91" s="20"/>
      <c r="W91" s="20"/>
      <c r="X91" s="20"/>
      <c r="Y91" s="20"/>
      <c r="Z91" s="20"/>
      <c r="AA91" s="54"/>
      <c r="AB91" s="45"/>
      <c r="AC91" s="49"/>
      <c r="AD91" s="51"/>
      <c r="AE91" s="42"/>
      <c r="AF91" s="51"/>
    </row>
    <row r="92" spans="1:34" x14ac:dyDescent="0.25">
      <c r="A92" s="20" t="s">
        <v>198</v>
      </c>
      <c r="B92" s="35" t="s">
        <v>39</v>
      </c>
      <c r="C92" s="35" t="s">
        <v>199</v>
      </c>
      <c r="D92" s="20" t="s">
        <v>200</v>
      </c>
      <c r="E92" s="20" t="s">
        <v>201</v>
      </c>
      <c r="F92" s="20"/>
      <c r="G92" s="20" t="s">
        <v>576</v>
      </c>
      <c r="H92" s="20"/>
      <c r="I92" s="20"/>
      <c r="J92" s="20" t="s">
        <v>57</v>
      </c>
      <c r="K92" s="20"/>
      <c r="L92" s="20"/>
      <c r="M92" s="20"/>
      <c r="N92" s="20"/>
      <c r="O92" s="28" t="s">
        <v>459</v>
      </c>
      <c r="P92" s="28" t="s">
        <v>549</v>
      </c>
      <c r="Q92" s="28"/>
      <c r="R92" s="20"/>
      <c r="S92" s="20" t="s">
        <v>278</v>
      </c>
      <c r="T92" s="20">
        <v>656</v>
      </c>
      <c r="U92" s="20"/>
      <c r="V92" s="20"/>
      <c r="W92" s="20"/>
      <c r="X92" s="20"/>
      <c r="Y92" s="20"/>
      <c r="Z92" s="20"/>
      <c r="AA92" s="54"/>
      <c r="AB92" s="45"/>
      <c r="AC92" s="49"/>
      <c r="AD92" s="51"/>
      <c r="AE92" s="42"/>
      <c r="AF92" s="51"/>
    </row>
    <row r="93" spans="1:34" x14ac:dyDescent="0.25">
      <c r="A93" s="20" t="s">
        <v>198</v>
      </c>
      <c r="B93" s="35" t="s">
        <v>39</v>
      </c>
      <c r="C93" s="35" t="s">
        <v>199</v>
      </c>
      <c r="D93" s="20" t="s">
        <v>200</v>
      </c>
      <c r="E93" s="20" t="s">
        <v>201</v>
      </c>
      <c r="F93" s="20"/>
      <c r="G93" s="20" t="s">
        <v>577</v>
      </c>
      <c r="H93" s="20"/>
      <c r="I93" s="20"/>
      <c r="J93" s="20" t="s">
        <v>115</v>
      </c>
      <c r="K93" s="20"/>
      <c r="L93" s="20"/>
      <c r="M93" s="20"/>
      <c r="N93" s="20"/>
      <c r="O93" s="28" t="s">
        <v>459</v>
      </c>
      <c r="P93" s="28" t="s">
        <v>549</v>
      </c>
      <c r="Q93" s="28"/>
      <c r="R93" s="20"/>
      <c r="S93" s="20" t="s">
        <v>278</v>
      </c>
      <c r="T93" s="20">
        <v>656</v>
      </c>
      <c r="U93" s="20"/>
      <c r="V93" s="20"/>
      <c r="W93" s="20"/>
      <c r="X93" s="20"/>
      <c r="Y93" s="20"/>
      <c r="Z93" s="20"/>
      <c r="AA93" s="54"/>
      <c r="AB93" s="45"/>
      <c r="AC93" s="49"/>
      <c r="AD93" s="51"/>
      <c r="AE93" s="42"/>
      <c r="AF93" s="51"/>
    </row>
    <row r="94" spans="1:34" x14ac:dyDescent="0.25">
      <c r="A94" s="20" t="s">
        <v>198</v>
      </c>
      <c r="B94" s="35" t="s">
        <v>39</v>
      </c>
      <c r="C94" s="35" t="s">
        <v>199</v>
      </c>
      <c r="D94" s="20" t="s">
        <v>200</v>
      </c>
      <c r="E94" s="20" t="s">
        <v>201</v>
      </c>
      <c r="F94" s="20"/>
      <c r="G94" s="20" t="s">
        <v>578</v>
      </c>
      <c r="H94" s="20"/>
      <c r="I94" s="20"/>
      <c r="J94" s="20" t="s">
        <v>121</v>
      </c>
      <c r="K94" s="20"/>
      <c r="L94" s="20"/>
      <c r="M94" s="20"/>
      <c r="N94" s="20"/>
      <c r="O94" s="28" t="s">
        <v>459</v>
      </c>
      <c r="P94" s="28" t="s">
        <v>549</v>
      </c>
      <c r="Q94" s="28"/>
      <c r="R94" s="20"/>
      <c r="S94" s="20" t="s">
        <v>278</v>
      </c>
      <c r="T94" s="20">
        <v>656</v>
      </c>
      <c r="U94" s="20"/>
      <c r="V94" s="20"/>
      <c r="W94" s="20"/>
      <c r="X94" s="20"/>
      <c r="Y94" s="20"/>
      <c r="Z94" s="20"/>
      <c r="AA94" s="54"/>
      <c r="AB94" s="45"/>
      <c r="AC94" s="49"/>
      <c r="AD94" s="51"/>
      <c r="AE94" s="42"/>
      <c r="AF94" s="51"/>
    </row>
    <row r="95" spans="1:34" x14ac:dyDescent="0.25">
      <c r="A95" s="20" t="s">
        <v>198</v>
      </c>
      <c r="B95" s="35" t="s">
        <v>39</v>
      </c>
      <c r="C95" s="35" t="s">
        <v>199</v>
      </c>
      <c r="D95" s="20" t="s">
        <v>200</v>
      </c>
      <c r="E95" s="20" t="s">
        <v>201</v>
      </c>
      <c r="F95" s="20"/>
      <c r="G95" s="20" t="s">
        <v>579</v>
      </c>
      <c r="H95" s="20"/>
      <c r="I95" s="20"/>
      <c r="J95" s="20" t="s">
        <v>127</v>
      </c>
      <c r="K95" s="20"/>
      <c r="L95" s="20"/>
      <c r="M95" s="20"/>
      <c r="N95" s="20"/>
      <c r="O95" s="28" t="s">
        <v>459</v>
      </c>
      <c r="P95" s="28" t="s">
        <v>549</v>
      </c>
      <c r="Q95" s="28"/>
      <c r="R95" s="20"/>
      <c r="S95" s="20" t="s">
        <v>278</v>
      </c>
      <c r="T95" s="20">
        <v>656</v>
      </c>
      <c r="U95" s="20"/>
      <c r="V95" s="20"/>
      <c r="W95" s="20"/>
      <c r="X95" s="20"/>
      <c r="Y95" s="20"/>
      <c r="Z95" s="20"/>
      <c r="AA95" s="54"/>
      <c r="AB95" s="45"/>
      <c r="AC95" s="49"/>
      <c r="AD95" s="51"/>
      <c r="AE95" s="42"/>
      <c r="AF95" s="51"/>
    </row>
    <row r="96" spans="1:34" x14ac:dyDescent="0.25">
      <c r="A96" s="20" t="s">
        <v>198</v>
      </c>
      <c r="B96" s="35" t="s">
        <v>39</v>
      </c>
      <c r="C96" s="35" t="s">
        <v>199</v>
      </c>
      <c r="D96" s="20" t="s">
        <v>200</v>
      </c>
      <c r="E96" s="20" t="s">
        <v>201</v>
      </c>
      <c r="F96" s="20"/>
      <c r="G96" s="20" t="s">
        <v>580</v>
      </c>
      <c r="H96" s="20"/>
      <c r="I96" s="20"/>
      <c r="J96" s="20" t="s">
        <v>133</v>
      </c>
      <c r="K96" s="20"/>
      <c r="L96" s="20"/>
      <c r="M96" s="20"/>
      <c r="N96" s="20"/>
      <c r="O96" s="28" t="s">
        <v>459</v>
      </c>
      <c r="P96" s="28" t="s">
        <v>549</v>
      </c>
      <c r="Q96" s="28"/>
      <c r="R96" s="20"/>
      <c r="S96" s="20" t="s">
        <v>278</v>
      </c>
      <c r="T96" s="20">
        <v>656</v>
      </c>
      <c r="U96" s="20"/>
      <c r="V96" s="20"/>
      <c r="W96" s="20"/>
      <c r="X96" s="20"/>
      <c r="Y96" s="20"/>
      <c r="Z96" s="20"/>
      <c r="AA96" s="54"/>
      <c r="AB96" s="45"/>
      <c r="AC96" s="49"/>
      <c r="AD96" s="51"/>
      <c r="AE96" s="42"/>
      <c r="AF96" s="51"/>
    </row>
    <row r="97" spans="1:34" x14ac:dyDescent="0.25">
      <c r="A97" s="20" t="s">
        <v>198</v>
      </c>
      <c r="B97" s="35" t="s">
        <v>39</v>
      </c>
      <c r="C97" s="35" t="s">
        <v>199</v>
      </c>
      <c r="D97" s="20" t="s">
        <v>200</v>
      </c>
      <c r="E97" s="20" t="s">
        <v>201</v>
      </c>
      <c r="F97" s="20"/>
      <c r="G97" s="20" t="s">
        <v>581</v>
      </c>
      <c r="H97" s="20"/>
      <c r="I97" s="20"/>
      <c r="J97" s="20" t="s">
        <v>139</v>
      </c>
      <c r="K97" s="20"/>
      <c r="L97" s="20"/>
      <c r="M97" s="20"/>
      <c r="N97" s="20"/>
      <c r="O97" s="28" t="s">
        <v>459</v>
      </c>
      <c r="P97" s="28" t="s">
        <v>549</v>
      </c>
      <c r="Q97" s="28"/>
      <c r="R97" s="20"/>
      <c r="S97" s="20" t="s">
        <v>278</v>
      </c>
      <c r="T97" s="20">
        <v>656</v>
      </c>
      <c r="U97" s="20"/>
      <c r="V97" s="20"/>
      <c r="W97" s="20"/>
      <c r="X97" s="20"/>
      <c r="Y97" s="20"/>
      <c r="Z97" s="20"/>
      <c r="AA97" s="54"/>
      <c r="AB97" s="45"/>
      <c r="AC97" s="49"/>
      <c r="AD97" s="51"/>
      <c r="AE97" s="42"/>
      <c r="AF97" s="51"/>
    </row>
    <row r="98" spans="1:34" x14ac:dyDescent="0.25">
      <c r="A98" s="22" t="s">
        <v>198</v>
      </c>
      <c r="B98" s="36" t="s">
        <v>39</v>
      </c>
      <c r="C98" s="36" t="s">
        <v>199</v>
      </c>
      <c r="D98" s="22" t="s">
        <v>200</v>
      </c>
      <c r="E98" s="22" t="s">
        <v>201</v>
      </c>
      <c r="F98" s="22"/>
      <c r="G98" s="22" t="s">
        <v>582</v>
      </c>
      <c r="H98" s="22"/>
      <c r="I98" s="22"/>
      <c r="J98" s="22" t="s">
        <v>144</v>
      </c>
      <c r="K98" s="22"/>
      <c r="L98" s="22"/>
      <c r="M98" s="22"/>
      <c r="N98" s="22"/>
      <c r="O98" s="29" t="s">
        <v>459</v>
      </c>
      <c r="P98" s="29" t="s">
        <v>549</v>
      </c>
      <c r="Q98" s="29"/>
      <c r="R98" s="22"/>
      <c r="S98" s="22" t="s">
        <v>278</v>
      </c>
      <c r="T98" s="22">
        <v>656</v>
      </c>
      <c r="U98" s="22"/>
      <c r="V98" s="22"/>
      <c r="W98" s="22"/>
      <c r="X98" s="22"/>
      <c r="Y98" s="22"/>
      <c r="Z98" s="22"/>
      <c r="AA98" s="54"/>
      <c r="AB98" s="45"/>
      <c r="AC98" s="49"/>
      <c r="AD98" s="51"/>
      <c r="AE98" s="42"/>
      <c r="AF98" s="51"/>
    </row>
    <row r="99" spans="1:34" x14ac:dyDescent="0.25">
      <c r="A99" s="20" t="s">
        <v>225</v>
      </c>
      <c r="B99" s="35" t="s">
        <v>39</v>
      </c>
      <c r="C99" s="35" t="s">
        <v>226</v>
      </c>
      <c r="D99" s="20" t="s">
        <v>227</v>
      </c>
      <c r="E99" s="20" t="s">
        <v>342</v>
      </c>
      <c r="F99" s="20"/>
      <c r="G99" s="20" t="s">
        <v>583</v>
      </c>
      <c r="H99" s="20" t="s">
        <v>83</v>
      </c>
      <c r="I99" s="20"/>
      <c r="J99" s="19" t="s">
        <v>230</v>
      </c>
      <c r="K99" s="20" t="s">
        <v>231</v>
      </c>
      <c r="L99" s="43" t="s">
        <v>344</v>
      </c>
      <c r="M99" s="20"/>
      <c r="N99" s="20"/>
      <c r="O99" s="28" t="s">
        <v>459</v>
      </c>
      <c r="P99" s="28" t="s">
        <v>549</v>
      </c>
      <c r="Q99" s="37" t="s">
        <v>345</v>
      </c>
      <c r="R99" s="34" t="s">
        <v>104</v>
      </c>
      <c r="S99" s="20" t="s">
        <v>278</v>
      </c>
      <c r="T99" s="34" t="s">
        <v>346</v>
      </c>
      <c r="U99" s="34" t="s">
        <v>235</v>
      </c>
      <c r="V99" s="34"/>
      <c r="W99" s="20"/>
      <c r="X99" s="20"/>
      <c r="Y99" s="20"/>
      <c r="Z99" s="20"/>
      <c r="AA99" s="54"/>
      <c r="AB99" s="45" t="s">
        <v>236</v>
      </c>
      <c r="AC99" s="49" t="s">
        <v>236</v>
      </c>
      <c r="AD99" s="51" t="s">
        <v>62</v>
      </c>
      <c r="AE99" s="42" t="s">
        <v>238</v>
      </c>
      <c r="AF99" s="51" t="s">
        <v>113</v>
      </c>
    </row>
    <row r="100" spans="1:34" x14ac:dyDescent="0.25">
      <c r="A100" s="20" t="s">
        <v>225</v>
      </c>
      <c r="B100" s="35" t="s">
        <v>39</v>
      </c>
      <c r="C100" s="35" t="s">
        <v>226</v>
      </c>
      <c r="D100" s="20" t="s">
        <v>227</v>
      </c>
      <c r="E100" s="20" t="s">
        <v>342</v>
      </c>
      <c r="F100" s="20"/>
      <c r="G100" s="20" t="s">
        <v>584</v>
      </c>
      <c r="H100" s="20"/>
      <c r="I100" s="20"/>
      <c r="J100" s="19" t="s">
        <v>240</v>
      </c>
      <c r="K100" s="41" t="s">
        <v>231</v>
      </c>
      <c r="L100" s="41" t="s">
        <v>348</v>
      </c>
      <c r="M100" s="20"/>
      <c r="N100" s="20"/>
      <c r="O100" s="28" t="s">
        <v>459</v>
      </c>
      <c r="P100" s="28" t="s">
        <v>585</v>
      </c>
      <c r="Q100" s="28" t="s">
        <v>350</v>
      </c>
      <c r="R100" s="20" t="s">
        <v>104</v>
      </c>
      <c r="S100" s="20" t="s">
        <v>351</v>
      </c>
      <c r="T100" s="28" t="s">
        <v>352</v>
      </c>
      <c r="U100" s="20" t="s">
        <v>235</v>
      </c>
      <c r="V100" s="64"/>
      <c r="W100" s="20"/>
      <c r="X100" s="20"/>
      <c r="Y100" s="20"/>
      <c r="Z100" s="20"/>
      <c r="AA100" s="54"/>
      <c r="AB100" s="45" t="s">
        <v>236</v>
      </c>
      <c r="AC100" s="49" t="s">
        <v>236</v>
      </c>
      <c r="AD100" s="51"/>
      <c r="AE100" s="42"/>
      <c r="AF100" s="51"/>
    </row>
    <row r="101" spans="1:34" x14ac:dyDescent="0.25">
      <c r="A101" s="20" t="s">
        <v>225</v>
      </c>
      <c r="B101" s="35" t="s">
        <v>39</v>
      </c>
      <c r="C101" s="35" t="s">
        <v>226</v>
      </c>
      <c r="D101" s="20" t="s">
        <v>227</v>
      </c>
      <c r="E101" s="20" t="s">
        <v>342</v>
      </c>
      <c r="F101" s="20"/>
      <c r="G101" s="20" t="s">
        <v>586</v>
      </c>
      <c r="H101" s="20"/>
      <c r="I101" s="20"/>
      <c r="J101" s="19" t="s">
        <v>249</v>
      </c>
      <c r="K101" s="20"/>
      <c r="L101" s="20"/>
      <c r="M101" s="20"/>
      <c r="N101" s="20"/>
      <c r="O101" s="28" t="s">
        <v>459</v>
      </c>
      <c r="P101" s="28" t="s">
        <v>549</v>
      </c>
      <c r="Q101" s="37"/>
      <c r="R101" s="20"/>
      <c r="S101" s="20" t="s">
        <v>278</v>
      </c>
      <c r="T101" s="20" t="s">
        <v>354</v>
      </c>
      <c r="U101" s="20"/>
      <c r="V101" s="65"/>
      <c r="W101" s="20"/>
      <c r="X101" s="20"/>
      <c r="Y101" s="20"/>
      <c r="Z101" s="20"/>
      <c r="AA101" s="54"/>
      <c r="AB101" s="45"/>
      <c r="AC101" s="49"/>
      <c r="AD101" s="51"/>
      <c r="AE101" s="42"/>
      <c r="AF101" s="51"/>
    </row>
    <row r="102" spans="1:34" x14ac:dyDescent="0.25">
      <c r="A102" s="20" t="s">
        <v>225</v>
      </c>
      <c r="B102" s="35" t="s">
        <v>39</v>
      </c>
      <c r="C102" s="35" t="s">
        <v>226</v>
      </c>
      <c r="D102" s="20" t="s">
        <v>227</v>
      </c>
      <c r="E102" s="20" t="s">
        <v>342</v>
      </c>
      <c r="F102" s="20"/>
      <c r="G102" s="20" t="s">
        <v>587</v>
      </c>
      <c r="H102" s="20"/>
      <c r="I102" s="20"/>
      <c r="J102" s="19" t="s">
        <v>255</v>
      </c>
      <c r="K102" s="20"/>
      <c r="L102" s="20"/>
      <c r="M102" s="20"/>
      <c r="N102" s="20"/>
      <c r="O102" s="28" t="s">
        <v>459</v>
      </c>
      <c r="P102" s="28" t="s">
        <v>549</v>
      </c>
      <c r="Q102" s="37"/>
      <c r="R102" s="20"/>
      <c r="S102" s="20" t="s">
        <v>278</v>
      </c>
      <c r="T102" s="20" t="s">
        <v>354</v>
      </c>
      <c r="U102" s="20"/>
      <c r="V102" s="20"/>
      <c r="W102" s="20"/>
      <c r="X102" s="20"/>
      <c r="Y102" s="20"/>
      <c r="Z102" s="20"/>
      <c r="AA102" s="54"/>
      <c r="AB102" s="45"/>
      <c r="AC102" s="49"/>
      <c r="AD102" s="51"/>
      <c r="AE102" s="42"/>
      <c r="AF102" s="51"/>
    </row>
    <row r="103" spans="1:34" x14ac:dyDescent="0.25">
      <c r="A103" s="20" t="s">
        <v>225</v>
      </c>
      <c r="B103" s="35" t="s">
        <v>39</v>
      </c>
      <c r="C103" s="35" t="s">
        <v>226</v>
      </c>
      <c r="D103" s="20" t="s">
        <v>227</v>
      </c>
      <c r="E103" s="20" t="s">
        <v>342</v>
      </c>
      <c r="F103" s="20"/>
      <c r="G103" s="20" t="s">
        <v>588</v>
      </c>
      <c r="H103" s="20" t="s">
        <v>83</v>
      </c>
      <c r="I103" s="20"/>
      <c r="J103" s="19" t="s">
        <v>261</v>
      </c>
      <c r="K103" s="20" t="s">
        <v>231</v>
      </c>
      <c r="L103" s="43" t="s">
        <v>357</v>
      </c>
      <c r="M103" s="20"/>
      <c r="N103" s="20"/>
      <c r="O103" s="28" t="s">
        <v>459</v>
      </c>
      <c r="P103" s="28" t="s">
        <v>549</v>
      </c>
      <c r="Q103" s="66" t="s">
        <v>345</v>
      </c>
      <c r="R103" s="20" t="s">
        <v>104</v>
      </c>
      <c r="S103" s="20" t="s">
        <v>278</v>
      </c>
      <c r="T103" s="20" t="s">
        <v>358</v>
      </c>
      <c r="U103" s="20" t="s">
        <v>235</v>
      </c>
      <c r="V103" s="20"/>
      <c r="W103" s="20"/>
      <c r="X103" s="20"/>
      <c r="Y103" s="20"/>
      <c r="Z103" s="20"/>
      <c r="AA103" s="54"/>
      <c r="AB103" s="45" t="s">
        <v>263</v>
      </c>
      <c r="AC103" s="49" t="s">
        <v>263</v>
      </c>
      <c r="AD103" s="51" t="s">
        <v>62</v>
      </c>
      <c r="AE103" s="42"/>
      <c r="AF103" s="51"/>
    </row>
    <row r="104" spans="1:34" x14ac:dyDescent="0.25">
      <c r="A104" s="20" t="s">
        <v>225</v>
      </c>
      <c r="B104" s="35" t="s">
        <v>39</v>
      </c>
      <c r="C104" s="35" t="s">
        <v>226</v>
      </c>
      <c r="D104" s="20" t="s">
        <v>227</v>
      </c>
      <c r="E104" s="20" t="s">
        <v>342</v>
      </c>
      <c r="F104" s="20"/>
      <c r="G104" s="20" t="s">
        <v>589</v>
      </c>
      <c r="H104" s="20"/>
      <c r="I104" s="20"/>
      <c r="J104" s="19" t="s">
        <v>265</v>
      </c>
      <c r="K104" s="41" t="s">
        <v>231</v>
      </c>
      <c r="L104" s="41" t="s">
        <v>360</v>
      </c>
      <c r="M104" s="20"/>
      <c r="N104" s="20"/>
      <c r="O104" s="28" t="s">
        <v>459</v>
      </c>
      <c r="P104" s="28" t="s">
        <v>585</v>
      </c>
      <c r="Q104" s="28" t="s">
        <v>350</v>
      </c>
      <c r="R104" s="20" t="s">
        <v>104</v>
      </c>
      <c r="S104" s="20" t="s">
        <v>351</v>
      </c>
      <c r="T104" s="20" t="s">
        <v>352</v>
      </c>
      <c r="U104" s="20" t="s">
        <v>235</v>
      </c>
      <c r="V104" s="20"/>
      <c r="W104" s="20"/>
      <c r="X104" s="20"/>
      <c r="Y104" s="20"/>
      <c r="Z104" s="20"/>
      <c r="AA104" s="54"/>
      <c r="AB104" s="45" t="s">
        <v>263</v>
      </c>
      <c r="AC104" s="49" t="s">
        <v>263</v>
      </c>
      <c r="AD104" s="51"/>
      <c r="AE104" s="42"/>
      <c r="AF104" s="51"/>
    </row>
    <row r="105" spans="1:34" x14ac:dyDescent="0.25">
      <c r="A105" s="20" t="s">
        <v>225</v>
      </c>
      <c r="B105" s="35" t="s">
        <v>39</v>
      </c>
      <c r="C105" s="35" t="s">
        <v>226</v>
      </c>
      <c r="D105" s="20" t="s">
        <v>227</v>
      </c>
      <c r="E105" s="20" t="s">
        <v>342</v>
      </c>
      <c r="F105" s="20"/>
      <c r="G105" s="20" t="s">
        <v>590</v>
      </c>
      <c r="H105" s="20"/>
      <c r="I105" s="20"/>
      <c r="J105" s="19" t="s">
        <v>269</v>
      </c>
      <c r="K105" s="20"/>
      <c r="L105" s="20"/>
      <c r="M105" s="20"/>
      <c r="N105" s="20"/>
      <c r="O105" s="28" t="s">
        <v>459</v>
      </c>
      <c r="P105" s="28" t="s">
        <v>549</v>
      </c>
      <c r="Q105" s="28"/>
      <c r="R105" s="20"/>
      <c r="S105" s="20" t="s">
        <v>278</v>
      </c>
      <c r="T105" s="20" t="s">
        <v>354</v>
      </c>
      <c r="U105" s="20"/>
      <c r="V105" s="20"/>
      <c r="W105" s="20"/>
      <c r="X105" s="20"/>
      <c r="Y105" s="20"/>
      <c r="Z105" s="20"/>
      <c r="AA105" s="54"/>
      <c r="AB105" s="45"/>
      <c r="AC105" s="49"/>
      <c r="AD105" s="51"/>
      <c r="AE105" s="42"/>
      <c r="AF105" s="51"/>
    </row>
    <row r="106" spans="1:34" x14ac:dyDescent="0.25">
      <c r="A106" s="22" t="s">
        <v>225</v>
      </c>
      <c r="B106" s="36" t="s">
        <v>39</v>
      </c>
      <c r="C106" s="36" t="s">
        <v>226</v>
      </c>
      <c r="D106" s="22" t="s">
        <v>227</v>
      </c>
      <c r="E106" s="22" t="s">
        <v>342</v>
      </c>
      <c r="F106" s="22"/>
      <c r="G106" s="22" t="s">
        <v>591</v>
      </c>
      <c r="H106" s="22"/>
      <c r="I106" s="22"/>
      <c r="J106" s="31" t="s">
        <v>275</v>
      </c>
      <c r="K106" s="22"/>
      <c r="L106" s="22"/>
      <c r="M106" s="22"/>
      <c r="N106" s="22"/>
      <c r="O106" s="29" t="s">
        <v>459</v>
      </c>
      <c r="P106" s="29" t="s">
        <v>549</v>
      </c>
      <c r="Q106" s="29"/>
      <c r="R106" s="22"/>
      <c r="S106" s="22" t="s">
        <v>278</v>
      </c>
      <c r="T106" s="22" t="s">
        <v>354</v>
      </c>
      <c r="U106" s="22"/>
      <c r="V106" s="22"/>
      <c r="W106" s="22"/>
      <c r="X106" s="22"/>
      <c r="Y106" s="22"/>
      <c r="Z106" s="22"/>
      <c r="AA106" s="54"/>
      <c r="AB106" s="45"/>
      <c r="AC106" s="49"/>
      <c r="AD106" s="51"/>
      <c r="AE106" s="42"/>
      <c r="AF106" s="51"/>
    </row>
    <row r="107" spans="1:34" x14ac:dyDescent="0.25">
      <c r="A107" s="20" t="s">
        <v>225</v>
      </c>
      <c r="B107" s="35" t="s">
        <v>39</v>
      </c>
      <c r="C107" s="35" t="s">
        <v>226</v>
      </c>
      <c r="D107" s="20" t="s">
        <v>227</v>
      </c>
      <c r="E107" s="20" t="s">
        <v>363</v>
      </c>
      <c r="F107" s="20"/>
      <c r="G107" s="20" t="s">
        <v>592</v>
      </c>
      <c r="H107" s="20"/>
      <c r="I107" s="20"/>
      <c r="J107" s="19" t="s">
        <v>230</v>
      </c>
      <c r="K107" s="38" t="s">
        <v>365</v>
      </c>
      <c r="L107" s="38" t="s">
        <v>242</v>
      </c>
      <c r="M107" s="20"/>
      <c r="N107" s="20"/>
      <c r="O107" s="28" t="s">
        <v>459</v>
      </c>
      <c r="P107" s="28" t="s">
        <v>593</v>
      </c>
      <c r="Q107" s="37" t="s">
        <v>367</v>
      </c>
      <c r="R107" s="20"/>
      <c r="S107" s="20" t="s">
        <v>278</v>
      </c>
      <c r="T107" s="19" t="s">
        <v>368</v>
      </c>
      <c r="U107" s="20"/>
      <c r="V107" s="20"/>
      <c r="W107" s="20"/>
      <c r="X107" s="20"/>
      <c r="Y107" s="20"/>
      <c r="Z107" s="20"/>
      <c r="AA107" s="54"/>
      <c r="AB107" s="45" t="s">
        <v>369</v>
      </c>
      <c r="AC107" s="49" t="s">
        <v>369</v>
      </c>
      <c r="AD107" s="51" t="s">
        <v>207</v>
      </c>
      <c r="AE107" s="58" t="s">
        <v>370</v>
      </c>
      <c r="AF107" s="51" t="s">
        <v>113</v>
      </c>
      <c r="AH107" s="75" t="s">
        <v>113</v>
      </c>
    </row>
    <row r="108" spans="1:34" x14ac:dyDescent="0.25">
      <c r="A108" s="20" t="s">
        <v>225</v>
      </c>
      <c r="B108" s="35" t="s">
        <v>39</v>
      </c>
      <c r="C108" s="35" t="s">
        <v>226</v>
      </c>
      <c r="D108" s="20" t="s">
        <v>227</v>
      </c>
      <c r="E108" s="20" t="s">
        <v>363</v>
      </c>
      <c r="F108" s="20"/>
      <c r="G108" s="20" t="s">
        <v>594</v>
      </c>
      <c r="H108" s="20"/>
      <c r="I108" s="20"/>
      <c r="J108" s="19" t="s">
        <v>240</v>
      </c>
      <c r="K108" s="38" t="s">
        <v>365</v>
      </c>
      <c r="L108" s="38"/>
      <c r="M108" s="20"/>
      <c r="N108" s="20"/>
      <c r="O108" s="28" t="s">
        <v>459</v>
      </c>
      <c r="P108" s="28" t="s">
        <v>593</v>
      </c>
      <c r="Q108" s="37" t="s">
        <v>367</v>
      </c>
      <c r="R108" s="20"/>
      <c r="S108" s="20" t="s">
        <v>278</v>
      </c>
      <c r="T108" s="19" t="s">
        <v>368</v>
      </c>
      <c r="U108" s="20"/>
      <c r="V108" s="20"/>
      <c r="W108" s="20"/>
      <c r="X108" s="20"/>
      <c r="Y108" s="20"/>
      <c r="Z108" s="20"/>
      <c r="AA108" s="54"/>
      <c r="AB108" s="45" t="s">
        <v>372</v>
      </c>
      <c r="AC108" s="49" t="s">
        <v>372</v>
      </c>
      <c r="AD108" s="51" t="s">
        <v>207</v>
      </c>
      <c r="AE108" s="58" t="s">
        <v>370</v>
      </c>
      <c r="AF108" s="51" t="s">
        <v>119</v>
      </c>
    </row>
    <row r="109" spans="1:34" x14ac:dyDescent="0.25">
      <c r="A109" s="20" t="s">
        <v>225</v>
      </c>
      <c r="B109" s="35" t="s">
        <v>39</v>
      </c>
      <c r="C109" s="35" t="s">
        <v>226</v>
      </c>
      <c r="D109" s="20" t="s">
        <v>227</v>
      </c>
      <c r="E109" s="20" t="s">
        <v>363</v>
      </c>
      <c r="F109" s="20"/>
      <c r="G109" s="20" t="s">
        <v>595</v>
      </c>
      <c r="H109" s="20"/>
      <c r="I109" s="20"/>
      <c r="J109" s="19" t="s">
        <v>249</v>
      </c>
      <c r="K109" s="38" t="s">
        <v>365</v>
      </c>
      <c r="L109" s="38" t="s">
        <v>242</v>
      </c>
      <c r="M109" s="20"/>
      <c r="N109" s="20"/>
      <c r="O109" s="28" t="s">
        <v>459</v>
      </c>
      <c r="P109" s="28" t="s">
        <v>596</v>
      </c>
      <c r="Q109" s="37" t="s">
        <v>367</v>
      </c>
      <c r="R109" s="20"/>
      <c r="S109" s="20" t="s">
        <v>278</v>
      </c>
      <c r="T109" s="19" t="s">
        <v>368</v>
      </c>
      <c r="U109" s="20"/>
      <c r="V109" s="20"/>
      <c r="W109" s="20"/>
      <c r="X109" s="20"/>
      <c r="Y109" s="20"/>
      <c r="Z109" s="20"/>
      <c r="AA109" s="54"/>
      <c r="AB109" s="45" t="s">
        <v>369</v>
      </c>
      <c r="AC109" s="49" t="s">
        <v>369</v>
      </c>
      <c r="AD109" s="51" t="s">
        <v>62</v>
      </c>
      <c r="AE109" s="58" t="s">
        <v>370</v>
      </c>
      <c r="AF109" s="51" t="s">
        <v>125</v>
      </c>
      <c r="AH109" s="75" t="s">
        <v>113</v>
      </c>
    </row>
    <row r="110" spans="1:34" x14ac:dyDescent="0.25">
      <c r="A110" s="20" t="s">
        <v>225</v>
      </c>
      <c r="B110" s="35" t="s">
        <v>39</v>
      </c>
      <c r="C110" s="35" t="s">
        <v>226</v>
      </c>
      <c r="D110" s="20" t="s">
        <v>227</v>
      </c>
      <c r="E110" s="20" t="s">
        <v>363</v>
      </c>
      <c r="F110" s="20"/>
      <c r="G110" s="20" t="s">
        <v>597</v>
      </c>
      <c r="H110" s="20"/>
      <c r="I110" s="20"/>
      <c r="J110" s="19" t="s">
        <v>255</v>
      </c>
      <c r="K110" s="38" t="s">
        <v>365</v>
      </c>
      <c r="L110" s="38"/>
      <c r="M110" s="20"/>
      <c r="N110" s="20"/>
      <c r="O110" s="28" t="s">
        <v>459</v>
      </c>
      <c r="P110" s="28" t="s">
        <v>596</v>
      </c>
      <c r="Q110" s="37" t="s">
        <v>367</v>
      </c>
      <c r="R110" s="20"/>
      <c r="S110" s="20" t="s">
        <v>278</v>
      </c>
      <c r="T110" s="19" t="s">
        <v>368</v>
      </c>
      <c r="U110" s="20"/>
      <c r="V110" s="20"/>
      <c r="W110" s="20"/>
      <c r="X110" s="20"/>
      <c r="Y110" s="20"/>
      <c r="Z110" s="20"/>
      <c r="AA110" s="54"/>
      <c r="AB110" s="45" t="s">
        <v>372</v>
      </c>
      <c r="AC110" s="49" t="s">
        <v>372</v>
      </c>
      <c r="AD110" s="51" t="s">
        <v>62</v>
      </c>
      <c r="AE110" s="58" t="s">
        <v>370</v>
      </c>
      <c r="AF110" s="51" t="s">
        <v>131</v>
      </c>
    </row>
    <row r="111" spans="1:34" x14ac:dyDescent="0.25">
      <c r="A111" s="20" t="s">
        <v>225</v>
      </c>
      <c r="B111" s="35" t="s">
        <v>39</v>
      </c>
      <c r="C111" s="35" t="s">
        <v>226</v>
      </c>
      <c r="D111" s="20" t="s">
        <v>227</v>
      </c>
      <c r="E111" s="20" t="s">
        <v>363</v>
      </c>
      <c r="F111" s="20"/>
      <c r="G111" s="20" t="s">
        <v>598</v>
      </c>
      <c r="H111" s="20"/>
      <c r="I111" s="20"/>
      <c r="J111" s="19" t="s">
        <v>261</v>
      </c>
      <c r="K111" s="38" t="s">
        <v>365</v>
      </c>
      <c r="L111" s="38" t="s">
        <v>266</v>
      </c>
      <c r="M111" s="20"/>
      <c r="N111" s="20"/>
      <c r="O111" s="28" t="s">
        <v>459</v>
      </c>
      <c r="P111" s="28" t="s">
        <v>593</v>
      </c>
      <c r="Q111" s="37" t="s">
        <v>367</v>
      </c>
      <c r="R111" s="20"/>
      <c r="S111" s="20" t="s">
        <v>278</v>
      </c>
      <c r="T111" s="19" t="s">
        <v>368</v>
      </c>
      <c r="U111" s="20"/>
      <c r="V111" s="20"/>
      <c r="W111" s="20"/>
      <c r="X111" s="20"/>
      <c r="Y111" s="20"/>
      <c r="Z111" s="20"/>
      <c r="AA111" s="54"/>
      <c r="AB111" s="45" t="s">
        <v>379</v>
      </c>
      <c r="AC111" s="49" t="s">
        <v>379</v>
      </c>
      <c r="AD111" s="51" t="s">
        <v>207</v>
      </c>
      <c r="AE111" s="42"/>
      <c r="AF111" s="51"/>
    </row>
    <row r="112" spans="1:34" x14ac:dyDescent="0.25">
      <c r="A112" s="20" t="s">
        <v>225</v>
      </c>
      <c r="B112" s="35" t="s">
        <v>39</v>
      </c>
      <c r="C112" s="35" t="s">
        <v>226</v>
      </c>
      <c r="D112" s="20" t="s">
        <v>227</v>
      </c>
      <c r="E112" s="20" t="s">
        <v>363</v>
      </c>
      <c r="F112" s="20"/>
      <c r="G112" s="20" t="s">
        <v>599</v>
      </c>
      <c r="H112" s="20"/>
      <c r="I112" s="20"/>
      <c r="J112" s="19" t="s">
        <v>265</v>
      </c>
      <c r="K112" s="38"/>
      <c r="L112" s="38" t="s">
        <v>381</v>
      </c>
      <c r="M112" s="20"/>
      <c r="N112" s="20"/>
      <c r="O112" s="28" t="s">
        <v>459</v>
      </c>
      <c r="P112" s="28" t="s">
        <v>549</v>
      </c>
      <c r="Q112" s="37" t="s">
        <v>322</v>
      </c>
      <c r="R112" s="20"/>
      <c r="S112" s="20" t="s">
        <v>278</v>
      </c>
      <c r="T112" s="19" t="s">
        <v>323</v>
      </c>
      <c r="U112" s="20"/>
      <c r="V112" s="20"/>
      <c r="W112" s="20"/>
      <c r="X112" s="20"/>
      <c r="Y112" s="20"/>
      <c r="Z112" s="20"/>
      <c r="AA112" s="54"/>
      <c r="AB112" s="45" t="s">
        <v>382</v>
      </c>
      <c r="AC112" s="49" t="s">
        <v>382</v>
      </c>
      <c r="AD112" s="51" t="s">
        <v>207</v>
      </c>
      <c r="AE112" s="42"/>
      <c r="AF112" s="51"/>
    </row>
    <row r="113" spans="1:33" x14ac:dyDescent="0.25">
      <c r="A113" s="20" t="s">
        <v>225</v>
      </c>
      <c r="B113" s="35" t="s">
        <v>39</v>
      </c>
      <c r="C113" s="35" t="s">
        <v>226</v>
      </c>
      <c r="D113" s="20" t="s">
        <v>227</v>
      </c>
      <c r="E113" s="20" t="s">
        <v>363</v>
      </c>
      <c r="F113" s="20"/>
      <c r="G113" s="20" t="s">
        <v>600</v>
      </c>
      <c r="H113" s="20"/>
      <c r="I113" s="20"/>
      <c r="J113" s="19" t="s">
        <v>269</v>
      </c>
      <c r="K113" s="38" t="s">
        <v>365</v>
      </c>
      <c r="L113" s="38" t="s">
        <v>266</v>
      </c>
      <c r="M113" s="20"/>
      <c r="N113" s="20"/>
      <c r="O113" s="28" t="s">
        <v>459</v>
      </c>
      <c r="P113" s="28" t="s">
        <v>596</v>
      </c>
      <c r="Q113" s="37" t="s">
        <v>367</v>
      </c>
      <c r="R113" s="20"/>
      <c r="S113" s="20" t="s">
        <v>278</v>
      </c>
      <c r="T113" s="19" t="s">
        <v>368</v>
      </c>
      <c r="U113" s="20"/>
      <c r="V113" s="20"/>
      <c r="W113" s="20"/>
      <c r="X113" s="20"/>
      <c r="Y113" s="20"/>
      <c r="Z113" s="20"/>
      <c r="AA113" s="54"/>
      <c r="AB113" s="45" t="s">
        <v>379</v>
      </c>
      <c r="AC113" s="49" t="s">
        <v>379</v>
      </c>
      <c r="AD113" s="51" t="s">
        <v>62</v>
      </c>
      <c r="AE113" s="42"/>
      <c r="AF113" s="51"/>
    </row>
    <row r="114" spans="1:33" x14ac:dyDescent="0.25">
      <c r="A114" s="22" t="s">
        <v>225</v>
      </c>
      <c r="B114" s="36" t="s">
        <v>39</v>
      </c>
      <c r="C114" s="36" t="s">
        <v>226</v>
      </c>
      <c r="D114" s="22" t="s">
        <v>227</v>
      </c>
      <c r="E114" s="22" t="s">
        <v>363</v>
      </c>
      <c r="F114" s="22"/>
      <c r="G114" s="22" t="s">
        <v>601</v>
      </c>
      <c r="H114" s="22"/>
      <c r="I114" s="22"/>
      <c r="J114" s="31" t="s">
        <v>275</v>
      </c>
      <c r="K114" s="39"/>
      <c r="L114" s="39" t="s">
        <v>385</v>
      </c>
      <c r="M114" s="22"/>
      <c r="N114" s="22"/>
      <c r="O114" s="29" t="s">
        <v>459</v>
      </c>
      <c r="P114" s="29" t="s">
        <v>549</v>
      </c>
      <c r="Q114" s="40" t="s">
        <v>327</v>
      </c>
      <c r="R114" s="22"/>
      <c r="S114" s="22" t="s">
        <v>278</v>
      </c>
      <c r="T114" s="31" t="s">
        <v>323</v>
      </c>
      <c r="U114" s="22"/>
      <c r="V114" s="22"/>
      <c r="W114" s="22"/>
      <c r="X114" s="22"/>
      <c r="Y114" s="22"/>
      <c r="Z114" s="22"/>
      <c r="AA114" s="54"/>
      <c r="AB114" s="45" t="s">
        <v>382</v>
      </c>
      <c r="AC114" s="49" t="s">
        <v>382</v>
      </c>
      <c r="AD114" s="51" t="s">
        <v>62</v>
      </c>
      <c r="AE114" s="42"/>
      <c r="AF114" s="51"/>
    </row>
    <row r="115" spans="1:33" x14ac:dyDescent="0.25">
      <c r="A115" s="20" t="s">
        <v>386</v>
      </c>
      <c r="B115" s="35" t="s">
        <v>39</v>
      </c>
      <c r="C115" s="35" t="s">
        <v>387</v>
      </c>
      <c r="D115" s="20" t="s">
        <v>388</v>
      </c>
      <c r="E115" s="20" t="s">
        <v>389</v>
      </c>
      <c r="F115" s="20"/>
      <c r="G115" s="20" t="s">
        <v>602</v>
      </c>
      <c r="H115" s="20"/>
      <c r="I115" s="20"/>
      <c r="J115" s="19" t="s">
        <v>230</v>
      </c>
      <c r="K115" s="20" t="s">
        <v>391</v>
      </c>
      <c r="L115" s="28" t="s">
        <v>300</v>
      </c>
      <c r="M115" s="20"/>
      <c r="N115" s="20"/>
      <c r="O115" s="28" t="s">
        <v>459</v>
      </c>
      <c r="P115" s="28" t="s">
        <v>549</v>
      </c>
      <c r="Q115" s="28" t="s">
        <v>301</v>
      </c>
      <c r="R115" s="20"/>
      <c r="S115" s="20" t="s">
        <v>278</v>
      </c>
      <c r="T115" s="20" t="s">
        <v>392</v>
      </c>
      <c r="U115" s="20"/>
      <c r="V115" s="20"/>
      <c r="W115" s="20"/>
      <c r="X115" s="20"/>
      <c r="Y115" s="20"/>
      <c r="Z115" s="20"/>
      <c r="AA115" s="54"/>
      <c r="AB115" s="45" t="s">
        <v>393</v>
      </c>
      <c r="AC115" s="49" t="s">
        <v>393</v>
      </c>
      <c r="AD115" s="51" t="s">
        <v>207</v>
      </c>
      <c r="AE115" s="42" t="s">
        <v>550</v>
      </c>
      <c r="AF115" s="51" t="s">
        <v>108</v>
      </c>
      <c r="AG115" t="s">
        <v>85</v>
      </c>
    </row>
    <row r="116" spans="1:33" x14ac:dyDescent="0.25">
      <c r="A116" s="20" t="s">
        <v>386</v>
      </c>
      <c r="B116" s="35" t="s">
        <v>39</v>
      </c>
      <c r="C116" s="35" t="s">
        <v>387</v>
      </c>
      <c r="D116" s="20" t="s">
        <v>388</v>
      </c>
      <c r="E116" s="20" t="s">
        <v>389</v>
      </c>
      <c r="F116" s="20"/>
      <c r="G116" s="20" t="s">
        <v>603</v>
      </c>
      <c r="H116" s="20"/>
      <c r="I116" s="20"/>
      <c r="J116" s="19" t="s">
        <v>240</v>
      </c>
      <c r="K116" s="20" t="s">
        <v>395</v>
      </c>
      <c r="L116" s="20" t="s">
        <v>396</v>
      </c>
      <c r="M116" s="20"/>
      <c r="N116" s="20"/>
      <c r="O116" s="28" t="s">
        <v>459</v>
      </c>
      <c r="P116" s="28" t="s">
        <v>549</v>
      </c>
      <c r="Q116" s="37" t="s">
        <v>304</v>
      </c>
      <c r="R116" s="20"/>
      <c r="S116" s="20" t="s">
        <v>278</v>
      </c>
      <c r="T116" s="20" t="s">
        <v>305</v>
      </c>
      <c r="U116" s="20"/>
      <c r="V116" s="20"/>
      <c r="W116" s="20"/>
      <c r="X116" s="20"/>
      <c r="Y116" s="20"/>
      <c r="Z116" s="20"/>
      <c r="AA116" s="54"/>
      <c r="AB116" s="45" t="s">
        <v>393</v>
      </c>
      <c r="AC116" s="49" t="s">
        <v>393</v>
      </c>
      <c r="AD116" s="51" t="s">
        <v>62</v>
      </c>
      <c r="AE116" s="42" t="s">
        <v>550</v>
      </c>
      <c r="AF116" s="51" t="s">
        <v>113</v>
      </c>
    </row>
    <row r="117" spans="1:33" x14ac:dyDescent="0.25">
      <c r="A117" s="20" t="s">
        <v>386</v>
      </c>
      <c r="B117" s="35" t="s">
        <v>39</v>
      </c>
      <c r="C117" s="35" t="s">
        <v>387</v>
      </c>
      <c r="D117" s="20" t="s">
        <v>388</v>
      </c>
      <c r="E117" s="20" t="s">
        <v>389</v>
      </c>
      <c r="F117" s="20"/>
      <c r="G117" s="20" t="s">
        <v>604</v>
      </c>
      <c r="H117" s="20"/>
      <c r="I117" s="20"/>
      <c r="J117" s="19" t="s">
        <v>249</v>
      </c>
      <c r="K117" s="38" t="s">
        <v>365</v>
      </c>
      <c r="L117" s="38" t="s">
        <v>398</v>
      </c>
      <c r="M117" s="20"/>
      <c r="N117" s="20"/>
      <c r="O117" s="28" t="s">
        <v>459</v>
      </c>
      <c r="P117" s="28" t="s">
        <v>549</v>
      </c>
      <c r="Q117" s="28" t="s">
        <v>399</v>
      </c>
      <c r="R117" s="20"/>
      <c r="S117" s="20" t="s">
        <v>278</v>
      </c>
      <c r="T117" s="20" t="s">
        <v>392</v>
      </c>
      <c r="U117" s="20"/>
      <c r="V117" s="20"/>
      <c r="W117" s="20"/>
      <c r="X117" s="20"/>
      <c r="Y117" s="20"/>
      <c r="Z117" s="20"/>
      <c r="AA117" s="54"/>
      <c r="AB117" s="45" t="s">
        <v>400</v>
      </c>
      <c r="AC117" s="49" t="s">
        <v>400</v>
      </c>
      <c r="AD117" s="51" t="s">
        <v>207</v>
      </c>
      <c r="AE117" s="42"/>
      <c r="AF117" s="51"/>
    </row>
    <row r="118" spans="1:33" x14ac:dyDescent="0.25">
      <c r="A118" s="22" t="s">
        <v>386</v>
      </c>
      <c r="B118" s="36" t="s">
        <v>39</v>
      </c>
      <c r="C118" s="36" t="s">
        <v>387</v>
      </c>
      <c r="D118" s="22" t="s">
        <v>388</v>
      </c>
      <c r="E118" s="22" t="s">
        <v>389</v>
      </c>
      <c r="F118" s="22"/>
      <c r="G118" s="22" t="s">
        <v>605</v>
      </c>
      <c r="H118" s="22"/>
      <c r="I118" s="22"/>
      <c r="J118" s="31" t="s">
        <v>255</v>
      </c>
      <c r="K118" s="39" t="s">
        <v>365</v>
      </c>
      <c r="L118" s="39" t="s">
        <v>398</v>
      </c>
      <c r="M118" s="22"/>
      <c r="N118" s="22"/>
      <c r="O118" s="29" t="s">
        <v>459</v>
      </c>
      <c r="P118" s="29" t="s">
        <v>549</v>
      </c>
      <c r="Q118" s="29" t="s">
        <v>402</v>
      </c>
      <c r="R118" s="22"/>
      <c r="S118" s="22" t="s">
        <v>278</v>
      </c>
      <c r="T118" s="22" t="s">
        <v>392</v>
      </c>
      <c r="U118" s="22"/>
      <c r="V118" s="22"/>
      <c r="W118" s="22"/>
      <c r="X118" s="22"/>
      <c r="Y118" s="22"/>
      <c r="Z118" s="22"/>
      <c r="AA118" s="54"/>
      <c r="AB118" s="45" t="s">
        <v>400</v>
      </c>
      <c r="AC118" s="49" t="s">
        <v>400</v>
      </c>
      <c r="AD118" s="51" t="s">
        <v>62</v>
      </c>
      <c r="AE118" s="42"/>
      <c r="AF118" s="51"/>
    </row>
    <row r="119" spans="1:33" x14ac:dyDescent="0.25">
      <c r="A119" s="20" t="s">
        <v>386</v>
      </c>
      <c r="B119" s="35" t="s">
        <v>39</v>
      </c>
      <c r="C119" s="35" t="s">
        <v>387</v>
      </c>
      <c r="D119" s="20" t="s">
        <v>388</v>
      </c>
      <c r="E119" s="20" t="s">
        <v>389</v>
      </c>
      <c r="F119" s="20"/>
      <c r="G119" s="20" t="s">
        <v>606</v>
      </c>
      <c r="H119" s="20"/>
      <c r="I119" s="20"/>
      <c r="J119" s="19" t="s">
        <v>230</v>
      </c>
      <c r="K119" s="20" t="s">
        <v>395</v>
      </c>
      <c r="L119" s="28" t="s">
        <v>404</v>
      </c>
      <c r="M119" s="20"/>
      <c r="N119" s="20"/>
      <c r="O119" s="28" t="s">
        <v>459</v>
      </c>
      <c r="P119" s="28" t="s">
        <v>549</v>
      </c>
      <c r="Q119" s="28" t="s">
        <v>282</v>
      </c>
      <c r="R119" s="20"/>
      <c r="S119" s="20" t="s">
        <v>278</v>
      </c>
      <c r="T119" s="20" t="s">
        <v>392</v>
      </c>
      <c r="U119" s="20"/>
      <c r="V119" s="20"/>
      <c r="W119" s="20"/>
      <c r="X119" s="20"/>
      <c r="Y119" s="20"/>
      <c r="Z119" s="20"/>
      <c r="AA119" s="54"/>
      <c r="AB119" s="45" t="s">
        <v>393</v>
      </c>
      <c r="AC119" s="49" t="s">
        <v>393</v>
      </c>
      <c r="AD119" s="55" t="s">
        <v>237</v>
      </c>
      <c r="AE119" s="58" t="s">
        <v>550</v>
      </c>
      <c r="AF119" s="51" t="s">
        <v>119</v>
      </c>
    </row>
    <row r="120" spans="1:33" x14ac:dyDescent="0.25">
      <c r="A120" s="20" t="s">
        <v>386</v>
      </c>
      <c r="B120" s="35" t="s">
        <v>39</v>
      </c>
      <c r="C120" s="35" t="s">
        <v>387</v>
      </c>
      <c r="D120" s="20" t="s">
        <v>388</v>
      </c>
      <c r="E120" s="20" t="s">
        <v>389</v>
      </c>
      <c r="F120" s="20"/>
      <c r="G120" s="20" t="s">
        <v>607</v>
      </c>
      <c r="H120" s="20"/>
      <c r="I120" s="20"/>
      <c r="J120" s="19" t="s">
        <v>240</v>
      </c>
      <c r="K120" s="20"/>
      <c r="L120" s="20"/>
      <c r="M120" s="20"/>
      <c r="N120" s="20"/>
      <c r="O120" s="28" t="s">
        <v>459</v>
      </c>
      <c r="P120" s="28" t="s">
        <v>549</v>
      </c>
      <c r="Q120" s="37"/>
      <c r="R120" s="20"/>
      <c r="S120" s="20" t="s">
        <v>278</v>
      </c>
      <c r="T120" s="20" t="s">
        <v>305</v>
      </c>
      <c r="U120" s="20"/>
      <c r="V120" s="20"/>
      <c r="W120" s="20"/>
      <c r="X120" s="20"/>
      <c r="Y120" s="20"/>
      <c r="Z120" s="20"/>
      <c r="AA120" s="54"/>
      <c r="AB120" s="45"/>
      <c r="AC120" s="49"/>
      <c r="AD120" s="51"/>
      <c r="AE120" s="42"/>
      <c r="AF120" s="51"/>
    </row>
    <row r="121" spans="1:33" x14ac:dyDescent="0.25">
      <c r="A121" s="20" t="s">
        <v>386</v>
      </c>
      <c r="B121" s="35" t="s">
        <v>39</v>
      </c>
      <c r="C121" s="35" t="s">
        <v>387</v>
      </c>
      <c r="D121" s="20" t="s">
        <v>388</v>
      </c>
      <c r="E121" s="20" t="s">
        <v>389</v>
      </c>
      <c r="F121" s="20"/>
      <c r="G121" s="20" t="s">
        <v>608</v>
      </c>
      <c r="H121" s="20"/>
      <c r="I121" s="20"/>
      <c r="J121" s="19" t="s">
        <v>249</v>
      </c>
      <c r="K121" s="38"/>
      <c r="L121" s="38"/>
      <c r="M121" s="20"/>
      <c r="N121" s="20"/>
      <c r="O121" s="28" t="s">
        <v>459</v>
      </c>
      <c r="P121" s="28" t="s">
        <v>549</v>
      </c>
      <c r="Q121" s="28"/>
      <c r="R121" s="20"/>
      <c r="S121" s="20" t="s">
        <v>278</v>
      </c>
      <c r="T121" s="20" t="s">
        <v>392</v>
      </c>
      <c r="U121" s="20"/>
      <c r="V121" s="20"/>
      <c r="W121" s="20"/>
      <c r="X121" s="20"/>
      <c r="Y121" s="20"/>
      <c r="Z121" s="20"/>
      <c r="AA121" s="54"/>
      <c r="AB121" s="45"/>
      <c r="AC121" s="49"/>
      <c r="AD121" s="51"/>
      <c r="AE121" s="42"/>
      <c r="AF121" s="51"/>
    </row>
    <row r="122" spans="1:33" x14ac:dyDescent="0.25">
      <c r="A122" s="22" t="s">
        <v>386</v>
      </c>
      <c r="B122" s="36" t="s">
        <v>39</v>
      </c>
      <c r="C122" s="36" t="s">
        <v>387</v>
      </c>
      <c r="D122" s="22" t="s">
        <v>388</v>
      </c>
      <c r="E122" s="22" t="s">
        <v>389</v>
      </c>
      <c r="F122" s="22"/>
      <c r="G122" s="22" t="s">
        <v>609</v>
      </c>
      <c r="H122" s="22"/>
      <c r="I122" s="22"/>
      <c r="J122" s="31" t="s">
        <v>255</v>
      </c>
      <c r="K122" s="39"/>
      <c r="L122" s="39"/>
      <c r="M122" s="22"/>
      <c r="N122" s="22"/>
      <c r="O122" s="29" t="s">
        <v>459</v>
      </c>
      <c r="P122" s="29" t="s">
        <v>549</v>
      </c>
      <c r="Q122" s="29"/>
      <c r="R122" s="22"/>
      <c r="S122" s="22" t="s">
        <v>278</v>
      </c>
      <c r="T122" s="22" t="s">
        <v>392</v>
      </c>
      <c r="U122" s="22"/>
      <c r="V122" s="22"/>
      <c r="W122" s="22"/>
      <c r="X122" s="22"/>
      <c r="Y122" s="22"/>
      <c r="Z122" s="22"/>
      <c r="AA122" s="54"/>
      <c r="AB122" s="45"/>
      <c r="AC122" s="49"/>
      <c r="AD122" s="51"/>
      <c r="AE122" s="42"/>
      <c r="AF122" s="51"/>
    </row>
    <row r="123" spans="1:33" x14ac:dyDescent="0.25">
      <c r="A123" s="18" t="s">
        <v>408</v>
      </c>
      <c r="B123" s="18" t="s">
        <v>409</v>
      </c>
      <c r="C123" s="18" t="s">
        <v>410</v>
      </c>
      <c r="D123" s="18" t="s">
        <v>411</v>
      </c>
      <c r="E123" s="30" t="s">
        <v>412</v>
      </c>
      <c r="F123" s="18" t="s">
        <v>413</v>
      </c>
      <c r="G123" s="30"/>
      <c r="H123" s="18"/>
      <c r="I123" s="18" t="s">
        <v>414</v>
      </c>
      <c r="J123" s="18"/>
      <c r="K123" s="18" t="s">
        <v>70</v>
      </c>
      <c r="L123" s="18"/>
      <c r="M123" s="18"/>
      <c r="N123" s="18"/>
      <c r="O123" s="30" t="s">
        <v>459</v>
      </c>
      <c r="P123" s="30" t="s">
        <v>610</v>
      </c>
      <c r="Q123" s="18" t="s">
        <v>412</v>
      </c>
      <c r="R123" s="18" t="s">
        <v>72</v>
      </c>
      <c r="S123" s="18" t="s">
        <v>351</v>
      </c>
      <c r="T123" s="30" t="s">
        <v>416</v>
      </c>
      <c r="U123" s="18" t="s">
        <v>48</v>
      </c>
      <c r="V123" s="18" t="str">
        <f>$V$2&amp;$F$2&amp;"."&amp;F123</f>
        <v>192.168.50.31</v>
      </c>
      <c r="W123" s="18" t="str">
        <f>LOWER("N"&amp;TEXT(F123,"0000")&amp;"-"&amp;SUBSTITUTE(MID(P123,2,20)&amp;Q123,".","-"))</f>
        <v>n0031-sm72-xns1</v>
      </c>
      <c r="X123" s="18"/>
      <c r="Y123" s="18"/>
      <c r="Z123" s="18"/>
      <c r="AA123" s="54"/>
      <c r="AB123" s="45" t="s">
        <v>72</v>
      </c>
      <c r="AC123" s="49" t="s">
        <v>72</v>
      </c>
      <c r="AD123" s="51" t="s">
        <v>273</v>
      </c>
      <c r="AE123" s="42" t="s">
        <v>63</v>
      </c>
      <c r="AF123" s="55" t="s">
        <v>77</v>
      </c>
    </row>
    <row r="124" spans="1:33" x14ac:dyDescent="0.25">
      <c r="A124" s="20" t="s">
        <v>418</v>
      </c>
      <c r="B124" s="20" t="s">
        <v>409</v>
      </c>
      <c r="C124" s="20" t="s">
        <v>410</v>
      </c>
      <c r="D124" s="20" t="s">
        <v>411</v>
      </c>
      <c r="E124" s="20" t="s">
        <v>412</v>
      </c>
      <c r="F124" s="20"/>
      <c r="G124" s="56" t="s">
        <v>611</v>
      </c>
      <c r="H124" s="20" t="s">
        <v>83</v>
      </c>
      <c r="I124" s="20" t="s">
        <v>420</v>
      </c>
      <c r="J124" s="20" t="s">
        <v>421</v>
      </c>
      <c r="K124" s="20"/>
      <c r="L124" s="20"/>
      <c r="M124" s="20"/>
      <c r="N124" s="20"/>
      <c r="O124" s="28" t="s">
        <v>459</v>
      </c>
      <c r="P124" s="28"/>
      <c r="Q124" s="28"/>
      <c r="R124" s="20"/>
      <c r="S124" s="20" t="s">
        <v>351</v>
      </c>
      <c r="T124" s="28" t="s">
        <v>352</v>
      </c>
      <c r="U124" s="20"/>
      <c r="V124" s="20"/>
      <c r="W124" s="20"/>
      <c r="X124" s="20"/>
      <c r="Y124" s="20"/>
      <c r="Z124" s="20"/>
      <c r="AA124" s="54"/>
      <c r="AB124" s="45"/>
      <c r="AC124" s="49"/>
      <c r="AD124" s="51"/>
      <c r="AE124" s="42"/>
      <c r="AF124" s="51"/>
    </row>
    <row r="125" spans="1:33" x14ac:dyDescent="0.25">
      <c r="A125" s="20" t="s">
        <v>418</v>
      </c>
      <c r="B125" s="20" t="s">
        <v>409</v>
      </c>
      <c r="C125" s="20" t="s">
        <v>410</v>
      </c>
      <c r="D125" s="20" t="s">
        <v>411</v>
      </c>
      <c r="E125" s="20" t="s">
        <v>412</v>
      </c>
      <c r="F125" s="20"/>
      <c r="G125" s="56" t="s">
        <v>612</v>
      </c>
      <c r="H125" s="20" t="s">
        <v>83</v>
      </c>
      <c r="I125" s="20" t="s">
        <v>420</v>
      </c>
      <c r="J125" s="20" t="s">
        <v>423</v>
      </c>
      <c r="K125" s="20"/>
      <c r="L125" s="20"/>
      <c r="M125" s="20"/>
      <c r="N125" s="20"/>
      <c r="O125" s="28" t="s">
        <v>459</v>
      </c>
      <c r="P125" s="28"/>
      <c r="Q125" s="28"/>
      <c r="R125" s="20"/>
      <c r="S125" s="20" t="s">
        <v>351</v>
      </c>
      <c r="T125" s="20" t="s">
        <v>352</v>
      </c>
      <c r="U125" s="20"/>
      <c r="V125" s="20"/>
      <c r="W125" s="20"/>
      <c r="X125" s="20"/>
      <c r="Y125" s="20"/>
      <c r="Z125" s="20"/>
      <c r="AA125" s="54"/>
      <c r="AB125" s="45"/>
      <c r="AC125" s="49"/>
      <c r="AD125" s="51"/>
      <c r="AE125" s="42"/>
      <c r="AF125" s="51"/>
    </row>
    <row r="126" spans="1:33" x14ac:dyDescent="0.25">
      <c r="A126" s="20" t="s">
        <v>418</v>
      </c>
      <c r="B126" s="20" t="s">
        <v>409</v>
      </c>
      <c r="C126" s="20" t="s">
        <v>410</v>
      </c>
      <c r="D126" s="20" t="s">
        <v>411</v>
      </c>
      <c r="E126" s="20" t="s">
        <v>412</v>
      </c>
      <c r="F126" s="20"/>
      <c r="G126" s="56" t="s">
        <v>613</v>
      </c>
      <c r="H126" s="20" t="s">
        <v>83</v>
      </c>
      <c r="I126" s="20" t="s">
        <v>425</v>
      </c>
      <c r="J126" s="20" t="s">
        <v>421</v>
      </c>
      <c r="K126" s="20"/>
      <c r="L126" s="20"/>
      <c r="M126" s="20"/>
      <c r="N126" s="20"/>
      <c r="O126" s="28" t="s">
        <v>459</v>
      </c>
      <c r="P126" s="28"/>
      <c r="Q126" s="28"/>
      <c r="R126" s="20"/>
      <c r="S126" s="20" t="s">
        <v>351</v>
      </c>
      <c r="T126" s="20" t="s">
        <v>352</v>
      </c>
      <c r="U126" s="20"/>
      <c r="V126" s="20"/>
      <c r="W126" s="20"/>
      <c r="X126" s="20"/>
      <c r="Y126" s="20"/>
      <c r="Z126" s="20"/>
      <c r="AA126" s="54"/>
      <c r="AB126" s="45"/>
      <c r="AC126" s="49"/>
      <c r="AD126" s="51"/>
      <c r="AE126" s="42"/>
      <c r="AF126" s="51"/>
    </row>
    <row r="127" spans="1:33" x14ac:dyDescent="0.25">
      <c r="A127" s="20" t="s">
        <v>418</v>
      </c>
      <c r="B127" s="20" t="s">
        <v>409</v>
      </c>
      <c r="C127" s="20" t="s">
        <v>410</v>
      </c>
      <c r="D127" s="20" t="s">
        <v>411</v>
      </c>
      <c r="E127" s="20" t="s">
        <v>412</v>
      </c>
      <c r="F127" s="20"/>
      <c r="G127" s="56" t="s">
        <v>614</v>
      </c>
      <c r="H127" s="20" t="s">
        <v>83</v>
      </c>
      <c r="I127" s="20" t="s">
        <v>425</v>
      </c>
      <c r="J127" s="20" t="s">
        <v>423</v>
      </c>
      <c r="K127" s="20"/>
      <c r="L127" s="20"/>
      <c r="M127" s="20"/>
      <c r="N127" s="20"/>
      <c r="O127" s="28" t="s">
        <v>459</v>
      </c>
      <c r="P127" s="28"/>
      <c r="Q127" s="28"/>
      <c r="R127" s="20"/>
      <c r="S127" s="20" t="s">
        <v>351</v>
      </c>
      <c r="T127" s="20" t="s">
        <v>352</v>
      </c>
      <c r="U127" s="20"/>
      <c r="V127" s="20"/>
      <c r="W127" s="20"/>
      <c r="X127" s="20"/>
      <c r="Y127" s="20"/>
      <c r="Z127" s="20"/>
      <c r="AA127" s="54"/>
      <c r="AB127" s="45"/>
      <c r="AC127" s="49"/>
      <c r="AD127" s="51"/>
      <c r="AE127" s="42"/>
      <c r="AF127" s="51"/>
    </row>
    <row r="128" spans="1:33" x14ac:dyDescent="0.25">
      <c r="A128" s="20" t="s">
        <v>418</v>
      </c>
      <c r="B128" s="20" t="s">
        <v>409</v>
      </c>
      <c r="C128" s="20" t="s">
        <v>410</v>
      </c>
      <c r="D128" s="20" t="s">
        <v>411</v>
      </c>
      <c r="E128" s="20" t="s">
        <v>412</v>
      </c>
      <c r="F128" s="20"/>
      <c r="G128" s="56" t="s">
        <v>615</v>
      </c>
      <c r="H128" s="20" t="s">
        <v>83</v>
      </c>
      <c r="I128" s="20" t="s">
        <v>428</v>
      </c>
      <c r="J128" s="20" t="s">
        <v>421</v>
      </c>
      <c r="K128" s="20"/>
      <c r="L128" s="20"/>
      <c r="M128" s="20"/>
      <c r="N128" s="20"/>
      <c r="O128" s="28" t="s">
        <v>459</v>
      </c>
      <c r="P128" s="28"/>
      <c r="Q128" s="28"/>
      <c r="R128" s="20"/>
      <c r="S128" s="20" t="s">
        <v>351</v>
      </c>
      <c r="T128" s="20" t="s">
        <v>352</v>
      </c>
      <c r="U128" s="20"/>
      <c r="V128" s="20"/>
      <c r="W128" s="20"/>
      <c r="X128" s="20"/>
      <c r="Y128" s="20"/>
      <c r="Z128" s="20"/>
      <c r="AA128" s="54"/>
      <c r="AB128" s="45"/>
      <c r="AC128" s="49"/>
      <c r="AD128" s="51"/>
      <c r="AE128" s="42"/>
      <c r="AF128" s="51"/>
    </row>
    <row r="129" spans="1:32" x14ac:dyDescent="0.25">
      <c r="A129" s="20" t="s">
        <v>418</v>
      </c>
      <c r="B129" s="20" t="s">
        <v>409</v>
      </c>
      <c r="C129" s="20" t="s">
        <v>410</v>
      </c>
      <c r="D129" s="20" t="s">
        <v>411</v>
      </c>
      <c r="E129" s="20" t="s">
        <v>412</v>
      </c>
      <c r="F129" s="20"/>
      <c r="G129" s="56" t="s">
        <v>616</v>
      </c>
      <c r="H129" s="20" t="s">
        <v>83</v>
      </c>
      <c r="I129" s="20" t="s">
        <v>428</v>
      </c>
      <c r="J129" s="20" t="s">
        <v>423</v>
      </c>
      <c r="K129" s="20"/>
      <c r="L129" s="20"/>
      <c r="M129" s="20"/>
      <c r="N129" s="20"/>
      <c r="O129" s="28" t="s">
        <v>459</v>
      </c>
      <c r="P129" s="28"/>
      <c r="Q129" s="28"/>
      <c r="R129" s="20"/>
      <c r="S129" s="20" t="s">
        <v>351</v>
      </c>
      <c r="T129" s="20" t="s">
        <v>352</v>
      </c>
      <c r="U129" s="20"/>
      <c r="V129" s="20"/>
      <c r="W129" s="20"/>
      <c r="X129" s="20"/>
      <c r="Y129" s="20"/>
      <c r="Z129" s="20"/>
      <c r="AA129" s="54"/>
      <c r="AB129" s="45"/>
      <c r="AC129" s="49"/>
      <c r="AD129" s="51"/>
      <c r="AE129" s="42"/>
      <c r="AF129" s="51"/>
    </row>
    <row r="130" spans="1:32" x14ac:dyDescent="0.25">
      <c r="A130" s="20" t="s">
        <v>418</v>
      </c>
      <c r="B130" s="20" t="s">
        <v>409</v>
      </c>
      <c r="C130" s="20" t="s">
        <v>410</v>
      </c>
      <c r="D130" s="20" t="s">
        <v>411</v>
      </c>
      <c r="E130" s="20" t="s">
        <v>412</v>
      </c>
      <c r="F130" s="20"/>
      <c r="G130" s="56" t="s">
        <v>617</v>
      </c>
      <c r="H130" s="20" t="s">
        <v>83</v>
      </c>
      <c r="I130" s="20" t="s">
        <v>431</v>
      </c>
      <c r="J130" s="20" t="s">
        <v>421</v>
      </c>
      <c r="K130" s="20"/>
      <c r="L130" s="20"/>
      <c r="M130" s="20"/>
      <c r="N130" s="20"/>
      <c r="O130" s="28" t="s">
        <v>459</v>
      </c>
      <c r="P130" s="28"/>
      <c r="Q130" s="28"/>
      <c r="R130" s="20"/>
      <c r="S130" s="20" t="s">
        <v>351</v>
      </c>
      <c r="T130" s="20" t="s">
        <v>352</v>
      </c>
      <c r="U130" s="20"/>
      <c r="V130" s="20"/>
      <c r="W130" s="20"/>
      <c r="X130" s="20"/>
      <c r="Y130" s="20"/>
      <c r="Z130" s="20"/>
      <c r="AA130" s="54"/>
      <c r="AB130" s="45"/>
      <c r="AC130" s="49"/>
      <c r="AD130" s="51"/>
      <c r="AE130" s="42"/>
      <c r="AF130" s="51"/>
    </row>
    <row r="131" spans="1:32" x14ac:dyDescent="0.25">
      <c r="A131" s="20" t="s">
        <v>418</v>
      </c>
      <c r="B131" s="20" t="s">
        <v>409</v>
      </c>
      <c r="C131" s="20" t="s">
        <v>410</v>
      </c>
      <c r="D131" s="20" t="s">
        <v>411</v>
      </c>
      <c r="E131" s="20" t="s">
        <v>412</v>
      </c>
      <c r="F131" s="20"/>
      <c r="G131" s="56" t="s">
        <v>618</v>
      </c>
      <c r="H131" s="20" t="s">
        <v>83</v>
      </c>
      <c r="I131" s="20" t="s">
        <v>431</v>
      </c>
      <c r="J131" s="20" t="s">
        <v>423</v>
      </c>
      <c r="K131" s="20"/>
      <c r="L131" s="20"/>
      <c r="M131" s="20"/>
      <c r="N131" s="20"/>
      <c r="O131" s="28" t="s">
        <v>459</v>
      </c>
      <c r="P131" s="28"/>
      <c r="Q131" s="28"/>
      <c r="R131" s="20"/>
      <c r="S131" s="20" t="s">
        <v>351</v>
      </c>
      <c r="T131" s="20" t="s">
        <v>352</v>
      </c>
      <c r="U131" s="20"/>
      <c r="V131" s="20"/>
      <c r="W131" s="20"/>
      <c r="X131" s="20"/>
      <c r="Y131" s="20"/>
      <c r="Z131" s="20"/>
      <c r="AA131" s="54"/>
      <c r="AB131" s="45"/>
      <c r="AC131" s="49"/>
      <c r="AD131" s="51"/>
      <c r="AE131" s="42"/>
      <c r="AF131" s="51"/>
    </row>
    <row r="132" spans="1:32" x14ac:dyDescent="0.25">
      <c r="A132" s="20" t="s">
        <v>418</v>
      </c>
      <c r="B132" s="20" t="s">
        <v>409</v>
      </c>
      <c r="C132" s="20" t="s">
        <v>410</v>
      </c>
      <c r="D132" s="20" t="s">
        <v>411</v>
      </c>
      <c r="E132" s="20" t="s">
        <v>412</v>
      </c>
      <c r="F132" s="20"/>
      <c r="G132" s="56" t="s">
        <v>619</v>
      </c>
      <c r="H132" s="20" t="s">
        <v>83</v>
      </c>
      <c r="I132" s="20" t="s">
        <v>434</v>
      </c>
      <c r="J132" s="20" t="s">
        <v>421</v>
      </c>
      <c r="K132" s="20"/>
      <c r="L132" s="20"/>
      <c r="M132" s="20"/>
      <c r="N132" s="20"/>
      <c r="O132" s="28" t="s">
        <v>459</v>
      </c>
      <c r="P132" s="28"/>
      <c r="Q132" s="28"/>
      <c r="R132" s="20"/>
      <c r="S132" s="20" t="s">
        <v>351</v>
      </c>
      <c r="T132" s="20" t="s">
        <v>352</v>
      </c>
      <c r="U132" s="20"/>
      <c r="V132" s="20"/>
      <c r="W132" s="20"/>
      <c r="X132" s="20"/>
      <c r="Y132" s="20"/>
      <c r="Z132" s="20"/>
      <c r="AA132" s="54"/>
      <c r="AB132" s="45"/>
      <c r="AC132" s="49"/>
      <c r="AD132" s="51"/>
      <c r="AE132" s="42"/>
      <c r="AF132" s="51"/>
    </row>
    <row r="133" spans="1:32" x14ac:dyDescent="0.25">
      <c r="A133" s="20" t="s">
        <v>418</v>
      </c>
      <c r="B133" s="20" t="s">
        <v>409</v>
      </c>
      <c r="C133" s="20" t="s">
        <v>410</v>
      </c>
      <c r="D133" s="20" t="s">
        <v>411</v>
      </c>
      <c r="E133" s="20" t="s">
        <v>412</v>
      </c>
      <c r="F133" s="20"/>
      <c r="G133" s="56" t="s">
        <v>620</v>
      </c>
      <c r="H133" s="20" t="s">
        <v>83</v>
      </c>
      <c r="I133" s="20" t="s">
        <v>434</v>
      </c>
      <c r="J133" s="20" t="s">
        <v>423</v>
      </c>
      <c r="K133" s="20"/>
      <c r="L133" s="20"/>
      <c r="M133" s="20"/>
      <c r="N133" s="20"/>
      <c r="O133" s="28" t="s">
        <v>459</v>
      </c>
      <c r="P133" s="28"/>
      <c r="Q133" s="28"/>
      <c r="R133" s="20"/>
      <c r="S133" s="20" t="s">
        <v>351</v>
      </c>
      <c r="T133" s="20" t="s">
        <v>352</v>
      </c>
      <c r="U133" s="20"/>
      <c r="V133" s="20"/>
      <c r="W133" s="20"/>
      <c r="X133" s="20"/>
      <c r="Y133" s="20"/>
      <c r="Z133" s="20"/>
      <c r="AA133" s="54"/>
      <c r="AB133" s="45"/>
      <c r="AC133" s="49"/>
      <c r="AD133" s="51"/>
      <c r="AE133" s="42"/>
      <c r="AF133" s="51"/>
    </row>
    <row r="134" spans="1:32" x14ac:dyDescent="0.25">
      <c r="A134" s="20" t="s">
        <v>418</v>
      </c>
      <c r="B134" s="20" t="s">
        <v>409</v>
      </c>
      <c r="C134" s="20" t="s">
        <v>410</v>
      </c>
      <c r="D134" s="20" t="s">
        <v>411</v>
      </c>
      <c r="E134" s="20" t="s">
        <v>412</v>
      </c>
      <c r="F134" s="20"/>
      <c r="G134" s="56" t="s">
        <v>621</v>
      </c>
      <c r="H134" s="20" t="s">
        <v>83</v>
      </c>
      <c r="I134" s="20" t="s">
        <v>437</v>
      </c>
      <c r="J134" s="20" t="s">
        <v>421</v>
      </c>
      <c r="K134" s="20"/>
      <c r="L134" s="20"/>
      <c r="M134" s="20"/>
      <c r="N134" s="20"/>
      <c r="O134" s="28" t="s">
        <v>459</v>
      </c>
      <c r="P134" s="28"/>
      <c r="Q134" s="28"/>
      <c r="R134" s="20"/>
      <c r="S134" s="20" t="s">
        <v>351</v>
      </c>
      <c r="T134" s="20" t="s">
        <v>352</v>
      </c>
      <c r="U134" s="20"/>
      <c r="V134" s="20"/>
      <c r="W134" s="20"/>
      <c r="X134" s="20"/>
      <c r="Y134" s="20"/>
      <c r="Z134" s="20"/>
      <c r="AA134" s="54"/>
      <c r="AB134" s="45"/>
      <c r="AC134" s="49"/>
      <c r="AD134" s="51"/>
      <c r="AE134" s="42"/>
      <c r="AF134" s="51"/>
    </row>
    <row r="135" spans="1:32" x14ac:dyDescent="0.25">
      <c r="A135" s="20" t="s">
        <v>418</v>
      </c>
      <c r="B135" s="20" t="s">
        <v>409</v>
      </c>
      <c r="C135" s="20" t="s">
        <v>410</v>
      </c>
      <c r="D135" s="20" t="s">
        <v>411</v>
      </c>
      <c r="E135" s="20" t="s">
        <v>412</v>
      </c>
      <c r="F135" s="20"/>
      <c r="G135" s="56" t="s">
        <v>622</v>
      </c>
      <c r="H135" s="20" t="s">
        <v>83</v>
      </c>
      <c r="I135" s="20" t="s">
        <v>437</v>
      </c>
      <c r="J135" s="20" t="s">
        <v>423</v>
      </c>
      <c r="K135" s="20"/>
      <c r="L135" s="20"/>
      <c r="M135" s="20"/>
      <c r="N135" s="20"/>
      <c r="O135" s="28" t="s">
        <v>459</v>
      </c>
      <c r="P135" s="28"/>
      <c r="Q135" s="28"/>
      <c r="R135" s="20"/>
      <c r="S135" s="20" t="s">
        <v>351</v>
      </c>
      <c r="T135" s="20" t="s">
        <v>352</v>
      </c>
      <c r="U135" s="20"/>
      <c r="V135" s="20"/>
      <c r="W135" s="20"/>
      <c r="X135" s="20"/>
      <c r="Y135" s="20"/>
      <c r="Z135" s="20"/>
      <c r="AA135" s="54"/>
      <c r="AB135" s="45"/>
      <c r="AC135" s="49"/>
      <c r="AD135" s="51"/>
      <c r="AE135" s="42"/>
      <c r="AF135" s="51"/>
    </row>
    <row r="136" spans="1:32" x14ac:dyDescent="0.25">
      <c r="A136" s="20" t="s">
        <v>418</v>
      </c>
      <c r="B136" s="20" t="s">
        <v>409</v>
      </c>
      <c r="C136" s="20" t="s">
        <v>410</v>
      </c>
      <c r="D136" s="20" t="s">
        <v>411</v>
      </c>
      <c r="E136" s="20" t="s">
        <v>412</v>
      </c>
      <c r="F136" s="20"/>
      <c r="G136" s="56" t="s">
        <v>623</v>
      </c>
      <c r="H136" s="20" t="s">
        <v>83</v>
      </c>
      <c r="I136" s="20" t="s">
        <v>440</v>
      </c>
      <c r="J136" s="20" t="s">
        <v>421</v>
      </c>
      <c r="K136" s="20"/>
      <c r="L136" s="20"/>
      <c r="M136" s="20"/>
      <c r="N136" s="20"/>
      <c r="O136" s="28" t="s">
        <v>459</v>
      </c>
      <c r="P136" s="28"/>
      <c r="Q136" s="28"/>
      <c r="R136" s="20"/>
      <c r="S136" s="20" t="s">
        <v>351</v>
      </c>
      <c r="T136" s="20" t="s">
        <v>352</v>
      </c>
      <c r="U136" s="20"/>
      <c r="V136" s="20"/>
      <c r="W136" s="20"/>
      <c r="X136" s="20"/>
      <c r="Y136" s="20"/>
      <c r="Z136" s="20"/>
      <c r="AA136" s="54"/>
      <c r="AB136" s="45"/>
      <c r="AC136" s="49"/>
      <c r="AD136" s="51"/>
      <c r="AE136" s="42"/>
      <c r="AF136" s="51"/>
    </row>
    <row r="137" spans="1:32" x14ac:dyDescent="0.25">
      <c r="A137" s="20" t="s">
        <v>418</v>
      </c>
      <c r="B137" s="20" t="s">
        <v>409</v>
      </c>
      <c r="C137" s="20" t="s">
        <v>410</v>
      </c>
      <c r="D137" s="20" t="s">
        <v>411</v>
      </c>
      <c r="E137" s="20" t="s">
        <v>412</v>
      </c>
      <c r="F137" s="20"/>
      <c r="G137" s="56" t="s">
        <v>624</v>
      </c>
      <c r="H137" s="20" t="s">
        <v>83</v>
      </c>
      <c r="I137" s="20" t="s">
        <v>440</v>
      </c>
      <c r="J137" s="20" t="s">
        <v>423</v>
      </c>
      <c r="K137" s="20"/>
      <c r="L137" s="20"/>
      <c r="M137" s="20"/>
      <c r="N137" s="20"/>
      <c r="O137" s="28" t="s">
        <v>459</v>
      </c>
      <c r="P137" s="28"/>
      <c r="Q137" s="28"/>
      <c r="R137" s="20"/>
      <c r="S137" s="20" t="s">
        <v>351</v>
      </c>
      <c r="T137" s="20" t="s">
        <v>352</v>
      </c>
      <c r="U137" s="20"/>
      <c r="V137" s="20"/>
      <c r="W137" s="20"/>
      <c r="X137" s="20"/>
      <c r="Y137" s="20"/>
      <c r="Z137" s="20"/>
      <c r="AA137" s="54"/>
      <c r="AB137" s="45"/>
      <c r="AC137" s="49"/>
      <c r="AD137" s="51"/>
      <c r="AE137" s="42"/>
      <c r="AF137" s="51"/>
    </row>
    <row r="138" spans="1:32" x14ac:dyDescent="0.25">
      <c r="A138" s="20" t="s">
        <v>418</v>
      </c>
      <c r="B138" s="20" t="s">
        <v>409</v>
      </c>
      <c r="C138" s="20" t="s">
        <v>410</v>
      </c>
      <c r="D138" s="20" t="s">
        <v>411</v>
      </c>
      <c r="E138" s="20" t="s">
        <v>412</v>
      </c>
      <c r="F138" s="20"/>
      <c r="G138" s="56" t="s">
        <v>625</v>
      </c>
      <c r="H138" s="20" t="s">
        <v>83</v>
      </c>
      <c r="I138" s="20" t="s">
        <v>443</v>
      </c>
      <c r="J138" s="20" t="s">
        <v>421</v>
      </c>
      <c r="K138" s="20"/>
      <c r="L138" s="20"/>
      <c r="M138" s="20"/>
      <c r="N138" s="20"/>
      <c r="O138" s="28" t="s">
        <v>459</v>
      </c>
      <c r="P138" s="28"/>
      <c r="Q138" s="28"/>
      <c r="R138" s="20"/>
      <c r="S138" s="20" t="s">
        <v>351</v>
      </c>
      <c r="T138" s="20" t="s">
        <v>352</v>
      </c>
      <c r="U138" s="20"/>
      <c r="V138" s="20"/>
      <c r="W138" s="20"/>
      <c r="X138" s="20"/>
      <c r="Y138" s="20"/>
      <c r="Z138" s="20"/>
      <c r="AA138" s="54"/>
      <c r="AB138" s="45"/>
      <c r="AC138" s="49"/>
      <c r="AD138" s="51"/>
      <c r="AE138" s="42"/>
      <c r="AF138" s="51"/>
    </row>
    <row r="139" spans="1:32" x14ac:dyDescent="0.25">
      <c r="A139" s="22" t="s">
        <v>418</v>
      </c>
      <c r="B139" s="22" t="s">
        <v>409</v>
      </c>
      <c r="C139" s="22" t="s">
        <v>410</v>
      </c>
      <c r="D139" s="22" t="s">
        <v>411</v>
      </c>
      <c r="E139" s="22" t="s">
        <v>412</v>
      </c>
      <c r="F139" s="22"/>
      <c r="G139" s="57" t="s">
        <v>626</v>
      </c>
      <c r="H139" s="22" t="s">
        <v>83</v>
      </c>
      <c r="I139" s="22" t="s">
        <v>443</v>
      </c>
      <c r="J139" s="22" t="s">
        <v>423</v>
      </c>
      <c r="K139" s="22"/>
      <c r="L139" s="22"/>
      <c r="M139" s="22"/>
      <c r="N139" s="22"/>
      <c r="O139" s="29" t="s">
        <v>459</v>
      </c>
      <c r="P139" s="29"/>
      <c r="Q139" s="29"/>
      <c r="R139" s="22"/>
      <c r="S139" s="22" t="s">
        <v>351</v>
      </c>
      <c r="T139" s="22" t="s">
        <v>352</v>
      </c>
      <c r="U139" s="22"/>
      <c r="V139" s="22"/>
      <c r="W139" s="22"/>
      <c r="X139" s="22"/>
      <c r="Y139" s="22"/>
      <c r="Z139" s="22"/>
      <c r="AA139" s="54"/>
      <c r="AB139" s="45"/>
      <c r="AC139" s="49"/>
      <c r="AD139" s="51"/>
      <c r="AE139" s="42"/>
      <c r="AF139" s="51"/>
    </row>
    <row r="140" spans="1:32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53"/>
      <c r="AE140" s="19"/>
      <c r="AF140" s="19"/>
    </row>
    <row r="141" spans="1:32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53"/>
      <c r="AE141" s="19"/>
      <c r="AF141" s="19"/>
    </row>
    <row r="142" spans="1:32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53"/>
      <c r="AE142" s="19"/>
      <c r="AF142" s="19"/>
    </row>
    <row r="143" spans="1:32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53"/>
      <c r="AE143" s="19"/>
      <c r="AF143" s="19"/>
    </row>
    <row r="144" spans="1:32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53"/>
      <c r="AE144" s="19"/>
      <c r="AF144" s="19"/>
    </row>
    <row r="145" spans="1:32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53"/>
      <c r="AE145" s="19"/>
      <c r="AF145" s="19"/>
    </row>
  </sheetData>
  <autoFilter ref="A1:AF9238" xr:uid="{00000000-0009-0000-0000-000001000000}"/>
  <conditionalFormatting sqref="A83:A122 K101:P103 K105:P116 K119:P120">
    <cfRule type="expression" dxfId="97" priority="250" stopIfTrue="1">
      <formula>#REF!="PA"</formula>
    </cfRule>
  </conditionalFormatting>
  <conditionalFormatting sqref="A123:P123 U123 X123:AC123">
    <cfRule type="expression" dxfId="96" priority="15" stopIfTrue="1">
      <formula>#REF!="PA"</formula>
    </cfRule>
  </conditionalFormatting>
  <conditionalFormatting sqref="A3:W6 E9:T9 V9:W9">
    <cfRule type="expression" dxfId="95" priority="1137" stopIfTrue="1">
      <formula>$X3="PA"</formula>
    </cfRule>
  </conditionalFormatting>
  <conditionalFormatting sqref="A1:X2">
    <cfRule type="expression" dxfId="94" priority="1304" stopIfTrue="1">
      <formula>$Y1="PA"</formula>
    </cfRule>
  </conditionalFormatting>
  <conditionalFormatting sqref="A124:AC139">
    <cfRule type="expression" dxfId="93" priority="16" stopIfTrue="1">
      <formula>#REF!="PA"</formula>
    </cfRule>
  </conditionalFormatting>
  <conditionalFormatting sqref="B9">
    <cfRule type="expression" dxfId="92" priority="578" stopIfTrue="1">
      <formula>$X9="PA"</formula>
    </cfRule>
  </conditionalFormatting>
  <conditionalFormatting sqref="B66">
    <cfRule type="expression" dxfId="91" priority="535" stopIfTrue="1">
      <formula>$X66="PA"</formula>
    </cfRule>
  </conditionalFormatting>
  <conditionalFormatting sqref="D7:AC8">
    <cfRule type="expression" dxfId="90" priority="11" stopIfTrue="1">
      <formula>#REF!="PA"</formula>
    </cfRule>
  </conditionalFormatting>
  <conditionalFormatting sqref="E66">
    <cfRule type="expression" dxfId="89" priority="536" stopIfTrue="1">
      <formula>$X66="PA"</formula>
    </cfRule>
  </conditionalFormatting>
  <conditionalFormatting sqref="E66:H66">
    <cfRule type="expression" dxfId="88" priority="537" stopIfTrue="1">
      <formula>#REF!="PA"</formula>
    </cfRule>
  </conditionalFormatting>
  <conditionalFormatting sqref="E9:Q9 U9 X9:AC9">
    <cfRule type="expression" dxfId="87" priority="1246" stopIfTrue="1">
      <formula>#REF!="PA"</formula>
    </cfRule>
  </conditionalFormatting>
  <conditionalFormatting sqref="G2:G122">
    <cfRule type="duplicateValues" dxfId="86" priority="1364"/>
  </conditionalFormatting>
  <conditionalFormatting sqref="G123:G139">
    <cfRule type="duplicateValues" dxfId="85" priority="14"/>
  </conditionalFormatting>
  <conditionalFormatting sqref="I66 V66:W66">
    <cfRule type="expression" dxfId="84" priority="797" stopIfTrue="1">
      <formula>$X66="PA"</formula>
    </cfRule>
  </conditionalFormatting>
  <conditionalFormatting sqref="I66:Q66">
    <cfRule type="expression" dxfId="83" priority="390" stopIfTrue="1">
      <formula>#REF!="PA"</formula>
    </cfRule>
  </conditionalFormatting>
  <conditionalFormatting sqref="J10:J57 D10:I65 K11:N29 O11:O41 P18:AC57 D67:I122">
    <cfRule type="expression" dxfId="82" priority="844" stopIfTrue="1">
      <formula>#REF!="PA"</formula>
    </cfRule>
  </conditionalFormatting>
  <conditionalFormatting sqref="J67:J98">
    <cfRule type="expression" dxfId="81" priority="531" stopIfTrue="1">
      <formula>#REF!="PA"</formula>
    </cfRule>
  </conditionalFormatting>
  <conditionalFormatting sqref="K30 M30:N30 K31:N33 M34:N38 K39:N41">
    <cfRule type="expression" dxfId="80" priority="1122" stopIfTrue="1">
      <formula>#REF!="PA"</formula>
    </cfRule>
  </conditionalFormatting>
  <conditionalFormatting sqref="K34:K38">
    <cfRule type="expression" dxfId="79" priority="562" stopIfTrue="1">
      <formula>#REF!="PA"</formula>
    </cfRule>
  </conditionalFormatting>
  <conditionalFormatting sqref="K114">
    <cfRule type="expression" dxfId="78" priority="378" stopIfTrue="1">
      <formula>#REF!="PA"</formula>
    </cfRule>
  </conditionalFormatting>
  <conditionalFormatting sqref="K42:O59 A42:A65 P58:X59 K60:Q60 S60:X60 M61:P61 S61:T61 V61:X61 K62:X63">
    <cfRule type="expression" dxfId="77" priority="1021" stopIfTrue="1">
      <formula>#REF!="PA"</formula>
    </cfRule>
  </conditionalFormatting>
  <conditionalFormatting sqref="K67:P99">
    <cfRule type="expression" dxfId="76" priority="384" stopIfTrue="1">
      <formula>#REF!="PA"</formula>
    </cfRule>
  </conditionalFormatting>
  <conditionalFormatting sqref="K64:Q64 S64:X64">
    <cfRule type="expression" dxfId="75" priority="1" stopIfTrue="1">
      <formula>#REF!="PA"</formula>
    </cfRule>
  </conditionalFormatting>
  <conditionalFormatting sqref="K117:Q118 K121:Q122">
    <cfRule type="expression" dxfId="74" priority="380" stopIfTrue="1">
      <formula>#REF!="PA"</formula>
    </cfRule>
  </conditionalFormatting>
  <conditionalFormatting sqref="K10:AC10 Q11:AC14 Q15:V15 X15:AC15 Q16:AC17">
    <cfRule type="expression" dxfId="73" priority="1116" stopIfTrue="1">
      <formula>#REF!="PA"</formula>
    </cfRule>
  </conditionalFormatting>
  <conditionalFormatting sqref="K100:AC100">
    <cfRule type="expression" dxfId="72" priority="20" stopIfTrue="1">
      <formula>#REF!="PA"</formula>
    </cfRule>
  </conditionalFormatting>
  <conditionalFormatting sqref="K104:AC104">
    <cfRule type="expression" dxfId="71" priority="19" stopIfTrue="1">
      <formula>#REF!="PA"</formula>
    </cfRule>
  </conditionalFormatting>
  <conditionalFormatting sqref="L34:L37">
    <cfRule type="expression" dxfId="70" priority="561" stopIfTrue="1">
      <formula>#REF!="PA"</formula>
    </cfRule>
  </conditionalFormatting>
  <conditionalFormatting sqref="L109">
    <cfRule type="expression" dxfId="69" priority="379" stopIfTrue="1">
      <formula>#REF!="PA"</formula>
    </cfRule>
  </conditionalFormatting>
  <conditionalFormatting sqref="L113:L114">
    <cfRule type="expression" dxfId="68" priority="377" stopIfTrue="1">
      <formula>#REF!="PA"</formula>
    </cfRule>
  </conditionalFormatting>
  <conditionalFormatting sqref="M65:P65 R65:X65">
    <cfRule type="expression" dxfId="67" priority="849" stopIfTrue="1">
      <formula>#REF!="PA"</formula>
    </cfRule>
  </conditionalFormatting>
  <conditionalFormatting sqref="P11:P17">
    <cfRule type="expression" dxfId="66" priority="1099" stopIfTrue="1">
      <formula>#REF!="PA"</formula>
    </cfRule>
  </conditionalFormatting>
  <conditionalFormatting sqref="Q76:Q98">
    <cfRule type="expression" dxfId="65" priority="373" stopIfTrue="1">
      <formula>#REF!="PA"</formula>
    </cfRule>
  </conditionalFormatting>
  <conditionalFormatting sqref="Q115">
    <cfRule type="expression" dxfId="64" priority="383" stopIfTrue="1">
      <formula>#REF!="PA"</formula>
    </cfRule>
  </conditionalFormatting>
  <conditionalFormatting sqref="Q119">
    <cfRule type="expression" dxfId="63" priority="2" stopIfTrue="1">
      <formula>#REF!="PA"</formula>
    </cfRule>
  </conditionalFormatting>
  <conditionalFormatting sqref="Q123:T123">
    <cfRule type="expression" dxfId="62" priority="17" stopIfTrue="1">
      <formula>$X123="PA"</formula>
    </cfRule>
  </conditionalFormatting>
  <conditionalFormatting sqref="Q67:X75">
    <cfRule type="expression" dxfId="61" priority="4" stopIfTrue="1">
      <formula>#REF!="PA"</formula>
    </cfRule>
  </conditionalFormatting>
  <conditionalFormatting sqref="Q105:X106">
    <cfRule type="expression" dxfId="60" priority="523" stopIfTrue="1">
      <formula>#REF!="PA"</formula>
    </cfRule>
  </conditionalFormatting>
  <conditionalFormatting sqref="R107:S114 U107:W114">
    <cfRule type="expression" dxfId="59" priority="775" stopIfTrue="1">
      <formula>#REF!="PA"</formula>
    </cfRule>
  </conditionalFormatting>
  <conditionalFormatting sqref="R66:T66">
    <cfRule type="expression" dxfId="58" priority="1195" stopIfTrue="1">
      <formula>$X66="PA"</formula>
    </cfRule>
  </conditionalFormatting>
  <conditionalFormatting sqref="R76:X80 R81:S84 U81:X84 R85:X99 R101:AC103">
    <cfRule type="expression" dxfId="57" priority="524" stopIfTrue="1">
      <formula>#REF!="PA"</formula>
    </cfRule>
  </conditionalFormatting>
  <conditionalFormatting sqref="R115:AC122">
    <cfRule type="expression" dxfId="56" priority="1123" stopIfTrue="1">
      <formula>#REF!="PA"</formula>
    </cfRule>
  </conditionalFormatting>
  <conditionalFormatting sqref="T81:T82">
    <cfRule type="expression" dxfId="55" priority="374" stopIfTrue="1">
      <formula>#REF!="PA"</formula>
    </cfRule>
  </conditionalFormatting>
  <conditionalFormatting sqref="U66 X66:AC66">
    <cfRule type="expression" dxfId="54" priority="1196" stopIfTrue="1">
      <formula>#REF!="PA"</formula>
    </cfRule>
  </conditionalFormatting>
  <conditionalFormatting sqref="V123:W123">
    <cfRule type="expression" dxfId="53" priority="18" stopIfTrue="1">
      <formula>$X123="PA"</formula>
    </cfRule>
  </conditionalFormatting>
  <conditionalFormatting sqref="X3:X6">
    <cfRule type="expression" dxfId="52" priority="1164" stopIfTrue="1">
      <formula>#REF!="PA"</formula>
    </cfRule>
  </conditionalFormatting>
  <conditionalFormatting sqref="Y1:AC2">
    <cfRule type="expression" dxfId="51" priority="1326" stopIfTrue="1">
      <formula>$X1="PA"</formula>
    </cfRule>
  </conditionalFormatting>
  <conditionalFormatting sqref="Y3:AC6">
    <cfRule type="expression" dxfId="50" priority="1167" stopIfTrue="1">
      <formula>$X3="PA"</formula>
    </cfRule>
  </conditionalFormatting>
  <conditionalFormatting sqref="Y58:AC65 Y67:AC99 Y105:AC108 X107:X108 X109:AC114">
    <cfRule type="expression" dxfId="49" priority="1243" stopIfTrue="1">
      <formula>#REF!="PA"</formula>
    </cfRule>
  </conditionalFormatting>
  <conditionalFormatting sqref="AD1:AD10000">
    <cfRule type="expression" dxfId="48" priority="1366">
      <formula>IF($AD1&lt;&gt;"", SUM(--(($AB1 &amp;"-" &amp;$AD1)=(_xlfn._TRO_TRAILING($AB$1:$AB$9237) &amp;"-" &amp;_xlfn._TRO_TRAILING($AD$1:$AD$9237))))&gt;1)</formula>
    </cfRule>
  </conditionalFormatting>
  <pageMargins left="0.7" right="0.7" top="0.75" bottom="0.75" header="0.3" footer="0.3"/>
  <pageSetup paperSize="9" orientation="portrait"/>
  <headerFooter>
    <oddHeader>&amp;L&amp;"Calibri"&amp;1 &amp;K000000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H142"/>
  <sheetViews>
    <sheetView topLeftCell="R89" zoomScale="85" zoomScaleNormal="100" workbookViewId="0">
      <selection activeCell="AH57" sqref="AH57"/>
    </sheetView>
  </sheetViews>
  <sheetFormatPr defaultColWidth="25.140625" defaultRowHeight="15" outlineLevelCol="1" x14ac:dyDescent="0.25"/>
  <cols>
    <col min="1" max="1" width="61.42578125" bestFit="1" customWidth="1"/>
    <col min="2" max="2" width="17.42578125" customWidth="1"/>
    <col min="3" max="3" width="24.5703125" bestFit="1" customWidth="1"/>
    <col min="4" max="4" width="13.5703125" bestFit="1" customWidth="1"/>
    <col min="5" max="5" width="12.28515625" bestFit="1" customWidth="1"/>
    <col min="6" max="6" width="10.140625" bestFit="1" customWidth="1"/>
    <col min="7" max="7" width="8.85546875" customWidth="1"/>
    <col min="8" max="8" width="17.42578125" bestFit="1" customWidth="1"/>
    <col min="9" max="9" width="18.5703125" bestFit="1" customWidth="1"/>
    <col min="10" max="10" width="11.5703125" bestFit="1" customWidth="1"/>
    <col min="11" max="11" width="52.140625" bestFit="1" customWidth="1"/>
    <col min="12" max="12" width="47.42578125" customWidth="1"/>
    <col min="13" max="13" width="32.85546875" customWidth="1" outlineLevel="1"/>
    <col min="14" max="14" width="31.140625" customWidth="1" outlineLevel="1"/>
    <col min="15" max="15" width="14.7109375" bestFit="1" customWidth="1"/>
    <col min="16" max="16" width="14.28515625" bestFit="1" customWidth="1"/>
    <col min="17" max="17" width="15" bestFit="1" customWidth="1"/>
    <col min="18" max="18" width="10.42578125" customWidth="1"/>
    <col min="19" max="19" width="17.42578125" customWidth="1"/>
    <col min="20" max="20" width="15.28515625" customWidth="1"/>
    <col min="21" max="21" width="12" customWidth="1"/>
    <col min="22" max="22" width="16.42578125" customWidth="1"/>
    <col min="23" max="23" width="23.7109375" customWidth="1"/>
    <col min="24" max="24" width="18.5703125" customWidth="1"/>
    <col min="25" max="25" width="9.5703125" customWidth="1"/>
    <col min="26" max="26" width="7.5703125" customWidth="1"/>
    <col min="27" max="27" width="7.28515625" customWidth="1"/>
    <col min="28" max="28" width="13.85546875" customWidth="1"/>
    <col min="29" max="29" width="8.28515625" customWidth="1"/>
    <col min="30" max="30" width="14.42578125" bestFit="1" customWidth="1"/>
    <col min="31" max="31" width="8" customWidth="1"/>
    <col min="32" max="32" width="5.7109375" customWidth="1"/>
    <col min="33" max="33" width="17.28515625" customWidth="1"/>
    <col min="34" max="34" width="11.42578125" customWidth="1"/>
    <col min="36" max="36" width="53.5703125" customWidth="1"/>
    <col min="37" max="39" width="8.28515625" customWidth="1"/>
  </cols>
  <sheetData>
    <row r="1" spans="1:34" ht="36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52" t="s">
        <v>26</v>
      </c>
      <c r="AB1" s="44" t="s">
        <v>27</v>
      </c>
      <c r="AC1" s="47" t="s">
        <v>28</v>
      </c>
      <c r="AD1" s="50" t="s">
        <v>29</v>
      </c>
      <c r="AE1" s="24" t="s">
        <v>30</v>
      </c>
      <c r="AF1" s="24" t="s">
        <v>31</v>
      </c>
      <c r="AG1" s="63" t="s">
        <v>32</v>
      </c>
      <c r="AH1" s="74" t="s">
        <v>33</v>
      </c>
    </row>
    <row r="2" spans="1:34" x14ac:dyDescent="0.25">
      <c r="A2" s="17"/>
      <c r="B2" s="17"/>
      <c r="C2" s="17"/>
      <c r="D2" s="17"/>
      <c r="E2" s="17"/>
      <c r="F2" s="17" t="s">
        <v>34</v>
      </c>
      <c r="G2" s="17"/>
      <c r="H2" s="17"/>
      <c r="I2" s="17"/>
      <c r="J2" s="17"/>
      <c r="K2" s="17" t="s">
        <v>35</v>
      </c>
      <c r="L2" s="17"/>
      <c r="M2" s="17"/>
      <c r="N2" s="17"/>
      <c r="O2" s="17"/>
      <c r="P2" s="17"/>
      <c r="Q2" s="17"/>
      <c r="R2" s="17"/>
      <c r="S2" s="17" t="s">
        <v>36</v>
      </c>
      <c r="T2" s="17"/>
      <c r="U2" s="17"/>
      <c r="V2" s="17" t="s">
        <v>37</v>
      </c>
      <c r="W2" s="17"/>
      <c r="X2" s="17"/>
      <c r="Y2" s="17"/>
      <c r="Z2" s="17"/>
      <c r="AA2" s="54"/>
      <c r="AB2" s="45"/>
      <c r="AC2" s="48"/>
      <c r="AD2" s="51"/>
      <c r="AE2" s="42"/>
      <c r="AF2" s="51"/>
    </row>
    <row r="3" spans="1:34" x14ac:dyDescent="0.25">
      <c r="A3" s="18" t="s">
        <v>38</v>
      </c>
      <c r="B3" s="18" t="s">
        <v>39</v>
      </c>
      <c r="C3" s="18" t="s">
        <v>40</v>
      </c>
      <c r="D3" s="18"/>
      <c r="E3" s="18" t="s">
        <v>41</v>
      </c>
      <c r="F3" s="18">
        <v>1</v>
      </c>
      <c r="G3" s="18"/>
      <c r="H3" s="18"/>
      <c r="I3" s="18" t="s">
        <v>42</v>
      </c>
      <c r="J3" s="18"/>
      <c r="K3" s="18" t="s">
        <v>43</v>
      </c>
      <c r="L3" s="18"/>
      <c r="M3" s="18" t="s">
        <v>44</v>
      </c>
      <c r="N3" s="18"/>
      <c r="O3" s="72" t="s">
        <v>45</v>
      </c>
      <c r="P3" s="68" t="s">
        <v>46</v>
      </c>
      <c r="Q3" s="30" t="s">
        <v>41</v>
      </c>
      <c r="R3" s="18"/>
      <c r="S3" s="18" t="s">
        <v>36</v>
      </c>
      <c r="T3" s="18" t="s">
        <v>47</v>
      </c>
      <c r="U3" s="18" t="s">
        <v>48</v>
      </c>
      <c r="V3" s="18" t="str">
        <f>$V$2&amp;$F$2&amp;"."&amp;F3</f>
        <v>192.168.51.1</v>
      </c>
      <c r="W3" s="18" t="str">
        <f>LOWER("N"&amp;TEXT(F3,"0000")&amp;"-"&amp;SUBSTITUTE(MID(P3,2,20)&amp;Q3,".","-"))</f>
        <v>n0001-mc2-cc1-k65501</v>
      </c>
      <c r="X3" s="25"/>
      <c r="Y3" s="18"/>
      <c r="Z3" s="18"/>
      <c r="AA3" s="54"/>
      <c r="AB3" s="45"/>
      <c r="AC3" s="49"/>
      <c r="AD3" s="55"/>
      <c r="AE3" s="42"/>
      <c r="AF3" s="51"/>
    </row>
    <row r="4" spans="1:34" x14ac:dyDescent="0.25">
      <c r="A4" s="18" t="s">
        <v>49</v>
      </c>
      <c r="B4" s="18" t="s">
        <v>39</v>
      </c>
      <c r="C4" s="18" t="s">
        <v>40</v>
      </c>
      <c r="D4" s="18"/>
      <c r="E4" s="18" t="s">
        <v>50</v>
      </c>
      <c r="F4" s="18">
        <v>1</v>
      </c>
      <c r="G4" s="18"/>
      <c r="H4" s="18"/>
      <c r="I4" s="18" t="s">
        <v>42</v>
      </c>
      <c r="J4" s="18"/>
      <c r="K4" s="18" t="s">
        <v>43</v>
      </c>
      <c r="L4" s="18"/>
      <c r="M4" s="18" t="s">
        <v>44</v>
      </c>
      <c r="N4" s="18"/>
      <c r="O4" s="72" t="s">
        <v>45</v>
      </c>
      <c r="P4" s="68" t="s">
        <v>46</v>
      </c>
      <c r="Q4" s="30" t="s">
        <v>50</v>
      </c>
      <c r="R4" s="18"/>
      <c r="S4" s="18" t="s">
        <v>36</v>
      </c>
      <c r="T4" s="18" t="s">
        <v>51</v>
      </c>
      <c r="U4" s="18" t="s">
        <v>48</v>
      </c>
      <c r="V4" s="18" t="str">
        <f>$V$2&amp;$F$2&amp;"."&amp;F4</f>
        <v>192.168.51.1</v>
      </c>
      <c r="W4" s="18" t="str">
        <f>LOWER("N"&amp;TEXT(F4,"0000")&amp;"-"&amp;SUBSTITUTE(MID(P4,2,20)&amp;Q4,".","-"))</f>
        <v>n0001-mc2-cc1-k65502</v>
      </c>
      <c r="X4" s="25" t="s">
        <v>52</v>
      </c>
      <c r="Y4" s="18"/>
      <c r="Z4" s="18"/>
      <c r="AA4" s="54"/>
      <c r="AB4" s="45"/>
      <c r="AC4" s="49"/>
      <c r="AD4" s="51"/>
      <c r="AE4" s="42"/>
      <c r="AF4" s="51"/>
    </row>
    <row r="5" spans="1:34" x14ac:dyDescent="0.25">
      <c r="A5" s="18" t="s">
        <v>53</v>
      </c>
      <c r="B5" s="18" t="s">
        <v>39</v>
      </c>
      <c r="C5" s="18" t="s">
        <v>54</v>
      </c>
      <c r="D5" s="18" t="s">
        <v>55</v>
      </c>
      <c r="E5" s="18" t="s">
        <v>56</v>
      </c>
      <c r="F5" s="18" t="s">
        <v>57</v>
      </c>
      <c r="G5" s="18"/>
      <c r="H5" s="18"/>
      <c r="I5" s="18"/>
      <c r="J5" s="18"/>
      <c r="K5" s="18" t="s">
        <v>58</v>
      </c>
      <c r="L5" s="18"/>
      <c r="M5" s="18" t="s">
        <v>59</v>
      </c>
      <c r="N5" s="18"/>
      <c r="O5" s="72" t="s">
        <v>45</v>
      </c>
      <c r="P5" s="68" t="s">
        <v>46</v>
      </c>
      <c r="Q5" s="30" t="s">
        <v>56</v>
      </c>
      <c r="R5" s="18" t="s">
        <v>60</v>
      </c>
      <c r="S5" s="18" t="s">
        <v>36</v>
      </c>
      <c r="T5" s="18" t="s">
        <v>61</v>
      </c>
      <c r="U5" s="18" t="s">
        <v>48</v>
      </c>
      <c r="V5" s="18" t="str">
        <f>$V$2&amp;$F$2&amp;"."&amp;F5</f>
        <v>192.168.51.10</v>
      </c>
      <c r="W5" s="18" t="str">
        <f>LOWER("N"&amp;TEXT(F5,"0000")&amp;"-"&amp;SUBSTITUTE(MID(P5,2,20)&amp;Q5,".","-"))</f>
        <v>n0010-mc2-cc1-k66001</v>
      </c>
      <c r="X5" s="25"/>
      <c r="Y5" s="18"/>
      <c r="Z5" s="18"/>
      <c r="AA5" s="54"/>
      <c r="AB5" s="45" t="s">
        <v>60</v>
      </c>
      <c r="AC5" s="49" t="s">
        <v>60</v>
      </c>
      <c r="AD5" s="55" t="s">
        <v>62</v>
      </c>
      <c r="AE5" s="42" t="s">
        <v>63</v>
      </c>
      <c r="AF5" s="55" t="s">
        <v>64</v>
      </c>
    </row>
    <row r="6" spans="1:34" x14ac:dyDescent="0.25">
      <c r="A6" s="18" t="s">
        <v>65</v>
      </c>
      <c r="B6" s="32" t="s">
        <v>39</v>
      </c>
      <c r="C6" s="18" t="s">
        <v>66</v>
      </c>
      <c r="D6" s="32" t="s">
        <v>67</v>
      </c>
      <c r="E6" s="32" t="s">
        <v>68</v>
      </c>
      <c r="F6" s="32" t="s">
        <v>69</v>
      </c>
      <c r="G6" s="32"/>
      <c r="H6" s="32"/>
      <c r="I6" s="18" t="s">
        <v>42</v>
      </c>
      <c r="J6" s="32"/>
      <c r="K6" s="32" t="s">
        <v>70</v>
      </c>
      <c r="L6" s="32"/>
      <c r="M6" s="32"/>
      <c r="N6" s="32"/>
      <c r="O6" s="69" t="s">
        <v>45</v>
      </c>
      <c r="P6" s="69" t="s">
        <v>71</v>
      </c>
      <c r="Q6" s="33" t="s">
        <v>68</v>
      </c>
      <c r="R6" s="32" t="s">
        <v>72</v>
      </c>
      <c r="S6" s="32" t="s">
        <v>73</v>
      </c>
      <c r="T6" s="32" t="s">
        <v>74</v>
      </c>
      <c r="U6" s="32" t="s">
        <v>48</v>
      </c>
      <c r="V6" s="18" t="str">
        <f>$V$2&amp;$F$2&amp;"."&amp;F6</f>
        <v>192.168.51.5</v>
      </c>
      <c r="W6" s="32" t="str">
        <f>LOWER("N"&amp;TEXT(F6,"0000")&amp;"-"&amp;SUBSTITUTE(MID(P6,2,20)&amp;Q6,".","-"))</f>
        <v>n0005-ms2-cc1-k65001</v>
      </c>
      <c r="X6" s="32"/>
      <c r="Y6" s="32"/>
      <c r="Z6" s="32"/>
      <c r="AA6" s="54"/>
      <c r="AB6" s="45" t="s">
        <v>72</v>
      </c>
      <c r="AC6" s="49" t="s">
        <v>72</v>
      </c>
      <c r="AD6" s="55" t="s">
        <v>75</v>
      </c>
      <c r="AE6" s="42" t="s">
        <v>76</v>
      </c>
      <c r="AF6" s="55" t="s">
        <v>77</v>
      </c>
    </row>
    <row r="7" spans="1:34" x14ac:dyDescent="0.25">
      <c r="A7" s="35" t="s">
        <v>78</v>
      </c>
      <c r="B7" s="35" t="s">
        <v>39</v>
      </c>
      <c r="C7" s="35" t="s">
        <v>79</v>
      </c>
      <c r="D7" s="20" t="s">
        <v>80</v>
      </c>
      <c r="E7" s="20" t="s">
        <v>81</v>
      </c>
      <c r="F7" s="20"/>
      <c r="G7" s="56" t="s">
        <v>82</v>
      </c>
      <c r="H7" s="20"/>
      <c r="I7" s="20"/>
      <c r="J7" s="20" t="s">
        <v>83</v>
      </c>
      <c r="K7" s="20"/>
      <c r="L7" s="20"/>
      <c r="M7" s="20"/>
      <c r="N7" s="20"/>
      <c r="O7" s="70" t="s">
        <v>45</v>
      </c>
      <c r="P7" s="70" t="s">
        <v>71</v>
      </c>
      <c r="Q7" s="20"/>
      <c r="R7" s="20"/>
      <c r="S7" s="20" t="s">
        <v>73</v>
      </c>
      <c r="T7" s="20" t="s">
        <v>84</v>
      </c>
      <c r="U7" s="20"/>
      <c r="V7" s="20"/>
      <c r="W7" s="20"/>
      <c r="X7" s="20"/>
      <c r="Y7" s="20"/>
      <c r="Z7" s="20"/>
      <c r="AA7" s="54"/>
      <c r="AB7" s="45"/>
      <c r="AC7" s="49"/>
      <c r="AD7" s="51"/>
      <c r="AE7" s="42"/>
      <c r="AF7" s="51"/>
      <c r="AG7" t="s">
        <v>85</v>
      </c>
    </row>
    <row r="8" spans="1:34" x14ac:dyDescent="0.25">
      <c r="A8" s="35" t="s">
        <v>78</v>
      </c>
      <c r="B8" s="35" t="s">
        <v>39</v>
      </c>
      <c r="C8" s="35" t="s">
        <v>79</v>
      </c>
      <c r="D8" s="20" t="s">
        <v>80</v>
      </c>
      <c r="E8" s="20" t="s">
        <v>81</v>
      </c>
      <c r="F8" s="20"/>
      <c r="G8" s="56" t="s">
        <v>86</v>
      </c>
      <c r="H8" s="20"/>
      <c r="I8" s="20"/>
      <c r="J8" s="20" t="s">
        <v>87</v>
      </c>
      <c r="K8" s="20"/>
      <c r="L8" s="20"/>
      <c r="M8" s="20"/>
      <c r="N8" s="20"/>
      <c r="O8" s="70" t="s">
        <v>45</v>
      </c>
      <c r="P8" s="70" t="s">
        <v>71</v>
      </c>
      <c r="Q8" s="20"/>
      <c r="R8" s="20"/>
      <c r="S8" s="20" t="s">
        <v>73</v>
      </c>
      <c r="T8" s="20" t="s">
        <v>84</v>
      </c>
      <c r="U8" s="20"/>
      <c r="V8" s="20"/>
      <c r="W8" s="20"/>
      <c r="X8" s="20"/>
      <c r="Y8" s="20"/>
      <c r="Z8" s="20"/>
      <c r="AA8" s="54"/>
      <c r="AB8" s="45"/>
      <c r="AC8" s="49"/>
      <c r="AD8" s="51"/>
      <c r="AE8" s="42"/>
      <c r="AF8" s="51"/>
    </row>
    <row r="9" spans="1:34" x14ac:dyDescent="0.25">
      <c r="A9" s="35" t="s">
        <v>78</v>
      </c>
      <c r="B9" s="35" t="s">
        <v>39</v>
      </c>
      <c r="C9" s="35" t="s">
        <v>79</v>
      </c>
      <c r="D9" s="20" t="s">
        <v>80</v>
      </c>
      <c r="E9" s="20" t="s">
        <v>81</v>
      </c>
      <c r="F9" s="20"/>
      <c r="G9" s="56" t="s">
        <v>88</v>
      </c>
      <c r="H9" s="20"/>
      <c r="I9" s="20"/>
      <c r="J9" s="20" t="s">
        <v>89</v>
      </c>
      <c r="K9" s="20"/>
      <c r="L9" s="20"/>
      <c r="M9" s="20"/>
      <c r="N9" s="20"/>
      <c r="O9" s="70" t="s">
        <v>45</v>
      </c>
      <c r="P9" s="70" t="s">
        <v>71</v>
      </c>
      <c r="Q9" s="20"/>
      <c r="R9" s="20"/>
      <c r="S9" s="20" t="s">
        <v>73</v>
      </c>
      <c r="T9" s="20" t="s">
        <v>84</v>
      </c>
      <c r="U9" s="20"/>
      <c r="V9" s="20"/>
      <c r="W9" s="20"/>
      <c r="X9" s="20"/>
      <c r="Y9" s="20"/>
      <c r="Z9" s="20"/>
      <c r="AA9" s="54"/>
      <c r="AB9" s="45"/>
      <c r="AC9" s="49"/>
      <c r="AD9" s="51"/>
      <c r="AE9" s="42"/>
      <c r="AF9" s="51"/>
    </row>
    <row r="10" spans="1:34" x14ac:dyDescent="0.25">
      <c r="A10" s="35" t="s">
        <v>78</v>
      </c>
      <c r="B10" s="35" t="s">
        <v>39</v>
      </c>
      <c r="C10" s="35" t="s">
        <v>79</v>
      </c>
      <c r="D10" s="20" t="s">
        <v>80</v>
      </c>
      <c r="E10" s="20" t="s">
        <v>81</v>
      </c>
      <c r="F10" s="20"/>
      <c r="G10" s="56" t="s">
        <v>90</v>
      </c>
      <c r="H10" s="20"/>
      <c r="I10" s="20"/>
      <c r="J10" s="20" t="s">
        <v>91</v>
      </c>
      <c r="K10" s="20"/>
      <c r="L10" s="20"/>
      <c r="M10" s="20"/>
      <c r="N10" s="20"/>
      <c r="O10" s="70" t="s">
        <v>45</v>
      </c>
      <c r="P10" s="70" t="s">
        <v>71</v>
      </c>
      <c r="Q10" s="20"/>
      <c r="R10" s="20"/>
      <c r="S10" s="20" t="s">
        <v>73</v>
      </c>
      <c r="T10" s="20" t="s">
        <v>84</v>
      </c>
      <c r="U10" s="20"/>
      <c r="V10" s="20"/>
      <c r="W10" s="20"/>
      <c r="X10" s="20"/>
      <c r="Y10" s="20"/>
      <c r="Z10" s="20"/>
      <c r="AA10" s="54"/>
      <c r="AB10" s="45"/>
      <c r="AC10" s="49"/>
      <c r="AD10" s="51"/>
      <c r="AE10" s="42"/>
      <c r="AF10" s="51"/>
    </row>
    <row r="11" spans="1:34" x14ac:dyDescent="0.25">
      <c r="A11" s="35" t="s">
        <v>78</v>
      </c>
      <c r="B11" s="35" t="s">
        <v>39</v>
      </c>
      <c r="C11" s="35" t="s">
        <v>79</v>
      </c>
      <c r="D11" s="20" t="s">
        <v>80</v>
      </c>
      <c r="E11" s="20" t="s">
        <v>81</v>
      </c>
      <c r="F11" s="20"/>
      <c r="G11" s="56" t="s">
        <v>92</v>
      </c>
      <c r="H11" s="20"/>
      <c r="I11" s="20"/>
      <c r="J11" s="20" t="s">
        <v>69</v>
      </c>
      <c r="K11" s="20"/>
      <c r="L11" s="20"/>
      <c r="M11" s="20"/>
      <c r="N11" s="20"/>
      <c r="O11" s="70" t="s">
        <v>45</v>
      </c>
      <c r="P11" s="70" t="s">
        <v>71</v>
      </c>
      <c r="Q11" s="20"/>
      <c r="R11" s="20"/>
      <c r="S11" s="20" t="s">
        <v>73</v>
      </c>
      <c r="T11" s="20" t="s">
        <v>84</v>
      </c>
      <c r="U11" s="20"/>
      <c r="V11" s="20"/>
      <c r="W11" s="20"/>
      <c r="X11" s="20"/>
      <c r="Y11" s="20"/>
      <c r="Z11" s="20"/>
      <c r="AA11" s="54"/>
      <c r="AB11" s="45"/>
      <c r="AC11" s="49"/>
      <c r="AD11" s="51"/>
      <c r="AE11" s="42"/>
      <c r="AF11" s="51"/>
    </row>
    <row r="12" spans="1:34" x14ac:dyDescent="0.25">
      <c r="A12" s="35" t="s">
        <v>78</v>
      </c>
      <c r="B12" s="35" t="s">
        <v>39</v>
      </c>
      <c r="C12" s="35" t="s">
        <v>79</v>
      </c>
      <c r="D12" s="20" t="s">
        <v>80</v>
      </c>
      <c r="E12" s="20" t="s">
        <v>81</v>
      </c>
      <c r="F12" s="20"/>
      <c r="G12" s="56" t="s">
        <v>93</v>
      </c>
      <c r="H12" s="20"/>
      <c r="I12" s="20"/>
      <c r="J12" s="20" t="s">
        <v>94</v>
      </c>
      <c r="K12" s="20"/>
      <c r="L12" s="20"/>
      <c r="M12" s="20"/>
      <c r="N12" s="20"/>
      <c r="O12" s="70" t="s">
        <v>45</v>
      </c>
      <c r="P12" s="70" t="s">
        <v>71</v>
      </c>
      <c r="Q12" s="20"/>
      <c r="R12" s="20"/>
      <c r="S12" s="20" t="s">
        <v>73</v>
      </c>
      <c r="T12" s="20" t="s">
        <v>84</v>
      </c>
      <c r="U12" s="20"/>
      <c r="V12" s="20"/>
      <c r="W12" s="21"/>
      <c r="X12" s="20"/>
      <c r="Y12" s="20"/>
      <c r="Z12" s="20"/>
      <c r="AA12" s="54"/>
      <c r="AB12" s="45"/>
      <c r="AC12" s="49"/>
      <c r="AD12" s="51"/>
      <c r="AE12" s="42"/>
      <c r="AF12" s="51"/>
    </row>
    <row r="13" spans="1:34" x14ac:dyDescent="0.25">
      <c r="A13" s="35" t="s">
        <v>78</v>
      </c>
      <c r="B13" s="35" t="s">
        <v>39</v>
      </c>
      <c r="C13" s="35" t="s">
        <v>79</v>
      </c>
      <c r="D13" s="20" t="s">
        <v>80</v>
      </c>
      <c r="E13" s="20" t="s">
        <v>81</v>
      </c>
      <c r="F13" s="20"/>
      <c r="G13" s="56" t="s">
        <v>95</v>
      </c>
      <c r="H13" s="20"/>
      <c r="I13" s="20"/>
      <c r="J13" s="20" t="s">
        <v>96</v>
      </c>
      <c r="K13" s="20"/>
      <c r="L13" s="20"/>
      <c r="M13" s="20"/>
      <c r="N13" s="20"/>
      <c r="O13" s="70" t="s">
        <v>45</v>
      </c>
      <c r="P13" s="70" t="s">
        <v>71</v>
      </c>
      <c r="Q13" s="20"/>
      <c r="R13" s="20"/>
      <c r="S13" s="20" t="s">
        <v>73</v>
      </c>
      <c r="T13" s="20" t="s">
        <v>84</v>
      </c>
      <c r="U13" s="20"/>
      <c r="V13" s="20"/>
      <c r="W13" s="20"/>
      <c r="X13" s="20"/>
      <c r="Y13" s="20"/>
      <c r="Z13" s="20"/>
      <c r="AA13" s="54"/>
      <c r="AB13" s="45"/>
      <c r="AC13" s="49"/>
      <c r="AD13" s="51"/>
      <c r="AE13" s="42"/>
      <c r="AF13" s="51"/>
    </row>
    <row r="14" spans="1:34" x14ac:dyDescent="0.25">
      <c r="A14" s="35" t="s">
        <v>78</v>
      </c>
      <c r="B14" s="35" t="s">
        <v>39</v>
      </c>
      <c r="C14" s="35" t="s">
        <v>79</v>
      </c>
      <c r="D14" s="20" t="s">
        <v>80</v>
      </c>
      <c r="E14" s="20" t="s">
        <v>81</v>
      </c>
      <c r="F14" s="20"/>
      <c r="G14" s="56" t="s">
        <v>97</v>
      </c>
      <c r="H14" s="20"/>
      <c r="I14" s="20"/>
      <c r="J14" s="20" t="s">
        <v>98</v>
      </c>
      <c r="K14" s="20"/>
      <c r="L14" s="20"/>
      <c r="M14" s="20"/>
      <c r="N14" s="20"/>
      <c r="O14" s="70" t="s">
        <v>45</v>
      </c>
      <c r="P14" s="70" t="s">
        <v>71</v>
      </c>
      <c r="Q14" s="20"/>
      <c r="R14" s="20"/>
      <c r="S14" s="20" t="s">
        <v>73</v>
      </c>
      <c r="T14" s="20" t="s">
        <v>84</v>
      </c>
      <c r="U14" s="20"/>
      <c r="V14" s="20"/>
      <c r="W14" s="20"/>
      <c r="X14" s="20"/>
      <c r="Y14" s="20"/>
      <c r="Z14" s="20"/>
      <c r="AA14" s="54"/>
      <c r="AB14" s="45"/>
      <c r="AC14" s="49"/>
      <c r="AD14" s="51"/>
      <c r="AE14" s="42"/>
      <c r="AF14" s="51"/>
    </row>
    <row r="15" spans="1:34" x14ac:dyDescent="0.25">
      <c r="A15" s="35" t="s">
        <v>78</v>
      </c>
      <c r="B15" s="35" t="s">
        <v>39</v>
      </c>
      <c r="C15" s="35" t="s">
        <v>79</v>
      </c>
      <c r="D15" s="20" t="s">
        <v>80</v>
      </c>
      <c r="E15" s="20" t="s">
        <v>81</v>
      </c>
      <c r="F15" s="20"/>
      <c r="G15" s="56" t="s">
        <v>99</v>
      </c>
      <c r="H15" s="20">
        <v>1</v>
      </c>
      <c r="I15" s="20"/>
      <c r="J15" s="20" t="s">
        <v>100</v>
      </c>
      <c r="K15" s="20" t="s">
        <v>101</v>
      </c>
      <c r="L15" s="20" t="s">
        <v>102</v>
      </c>
      <c r="M15" s="20"/>
      <c r="N15" s="20"/>
      <c r="O15" s="70" t="s">
        <v>45</v>
      </c>
      <c r="P15" s="70" t="s">
        <v>71</v>
      </c>
      <c r="Q15" s="28" t="s">
        <v>103</v>
      </c>
      <c r="R15" s="20" t="s">
        <v>104</v>
      </c>
      <c r="S15" s="20" t="s">
        <v>73</v>
      </c>
      <c r="T15" s="20" t="s">
        <v>105</v>
      </c>
      <c r="U15" s="20" t="s">
        <v>106</v>
      </c>
      <c r="V15" s="20"/>
      <c r="W15" s="20"/>
      <c r="X15" s="20"/>
      <c r="Y15" s="20"/>
      <c r="Z15" s="20"/>
      <c r="AA15" s="54"/>
      <c r="AB15" s="45" t="s">
        <v>104</v>
      </c>
      <c r="AC15" s="49" t="s">
        <v>104</v>
      </c>
      <c r="AD15" s="51" t="s">
        <v>107</v>
      </c>
      <c r="AE15" s="42" t="s">
        <v>76</v>
      </c>
      <c r="AF15" s="51" t="s">
        <v>108</v>
      </c>
    </row>
    <row r="16" spans="1:34" x14ac:dyDescent="0.25">
      <c r="A16" s="35" t="s">
        <v>78</v>
      </c>
      <c r="B16" s="35" t="s">
        <v>39</v>
      </c>
      <c r="C16" s="35" t="s">
        <v>79</v>
      </c>
      <c r="D16" s="20" t="s">
        <v>80</v>
      </c>
      <c r="E16" s="20" t="s">
        <v>81</v>
      </c>
      <c r="F16" s="20"/>
      <c r="G16" s="56" t="s">
        <v>109</v>
      </c>
      <c r="H16" s="20">
        <v>1</v>
      </c>
      <c r="I16" s="20"/>
      <c r="J16" s="20" t="s">
        <v>57</v>
      </c>
      <c r="K16" s="20" t="s">
        <v>101</v>
      </c>
      <c r="L16" s="20" t="s">
        <v>110</v>
      </c>
      <c r="M16" s="20"/>
      <c r="N16" s="20"/>
      <c r="O16" s="70" t="s">
        <v>45</v>
      </c>
      <c r="P16" s="70" t="s">
        <v>71</v>
      </c>
      <c r="Q16" s="28" t="s">
        <v>111</v>
      </c>
      <c r="R16" s="20" t="s">
        <v>104</v>
      </c>
      <c r="S16" s="20" t="s">
        <v>73</v>
      </c>
      <c r="T16" s="20" t="s">
        <v>105</v>
      </c>
      <c r="U16" s="20" t="s">
        <v>106</v>
      </c>
      <c r="V16" s="20"/>
      <c r="W16" s="20"/>
      <c r="X16" s="20"/>
      <c r="Y16" s="20"/>
      <c r="Z16" s="20"/>
      <c r="AA16" s="54"/>
      <c r="AB16" s="45" t="s">
        <v>104</v>
      </c>
      <c r="AC16" s="49" t="s">
        <v>104</v>
      </c>
      <c r="AD16" s="51" t="s">
        <v>112</v>
      </c>
      <c r="AE16" s="42" t="s">
        <v>76</v>
      </c>
      <c r="AF16" s="51" t="s">
        <v>113</v>
      </c>
    </row>
    <row r="17" spans="1:32" x14ac:dyDescent="0.25">
      <c r="A17" s="35" t="s">
        <v>78</v>
      </c>
      <c r="B17" s="35" t="s">
        <v>39</v>
      </c>
      <c r="C17" s="35" t="s">
        <v>79</v>
      </c>
      <c r="D17" s="20" t="s">
        <v>80</v>
      </c>
      <c r="E17" s="20" t="s">
        <v>81</v>
      </c>
      <c r="F17" s="20"/>
      <c r="G17" s="56" t="s">
        <v>114</v>
      </c>
      <c r="H17" s="20">
        <v>1</v>
      </c>
      <c r="I17" s="20"/>
      <c r="J17" s="20" t="s">
        <v>115</v>
      </c>
      <c r="K17" s="20" t="s">
        <v>101</v>
      </c>
      <c r="L17" s="20" t="s">
        <v>116</v>
      </c>
      <c r="M17" s="20"/>
      <c r="N17" s="20"/>
      <c r="O17" s="70" t="s">
        <v>45</v>
      </c>
      <c r="P17" s="70" t="s">
        <v>71</v>
      </c>
      <c r="Q17" s="28" t="s">
        <v>117</v>
      </c>
      <c r="R17" s="20" t="s">
        <v>104</v>
      </c>
      <c r="S17" s="20" t="s">
        <v>73</v>
      </c>
      <c r="T17" s="20" t="s">
        <v>105</v>
      </c>
      <c r="U17" s="20" t="s">
        <v>106</v>
      </c>
      <c r="V17" s="20"/>
      <c r="W17" s="20"/>
      <c r="X17" s="20"/>
      <c r="Y17" s="20"/>
      <c r="Z17" s="20"/>
      <c r="AA17" s="54"/>
      <c r="AB17" s="45" t="s">
        <v>104</v>
      </c>
      <c r="AC17" s="49" t="s">
        <v>104</v>
      </c>
      <c r="AD17" s="51" t="s">
        <v>118</v>
      </c>
      <c r="AE17" s="42" t="s">
        <v>76</v>
      </c>
      <c r="AF17" s="51" t="s">
        <v>119</v>
      </c>
    </row>
    <row r="18" spans="1:32" x14ac:dyDescent="0.25">
      <c r="A18" s="35" t="s">
        <v>78</v>
      </c>
      <c r="B18" s="35" t="s">
        <v>39</v>
      </c>
      <c r="C18" s="35" t="s">
        <v>79</v>
      </c>
      <c r="D18" s="20" t="s">
        <v>80</v>
      </c>
      <c r="E18" s="20" t="s">
        <v>81</v>
      </c>
      <c r="F18" s="20"/>
      <c r="G18" s="56" t="s">
        <v>120</v>
      </c>
      <c r="H18" s="20">
        <v>1</v>
      </c>
      <c r="I18" s="20"/>
      <c r="J18" s="20" t="s">
        <v>121</v>
      </c>
      <c r="K18" s="20" t="s">
        <v>101</v>
      </c>
      <c r="L18" s="20" t="s">
        <v>122</v>
      </c>
      <c r="M18" s="20"/>
      <c r="N18" s="20"/>
      <c r="O18" s="70" t="s">
        <v>45</v>
      </c>
      <c r="P18" s="70" t="s">
        <v>71</v>
      </c>
      <c r="Q18" s="28" t="s">
        <v>123</v>
      </c>
      <c r="R18" s="20" t="s">
        <v>104</v>
      </c>
      <c r="S18" s="20" t="s">
        <v>73</v>
      </c>
      <c r="T18" s="20" t="s">
        <v>105</v>
      </c>
      <c r="U18" s="20" t="s">
        <v>106</v>
      </c>
      <c r="V18" s="20"/>
      <c r="W18" s="20"/>
      <c r="X18" s="20"/>
      <c r="Y18" s="20"/>
      <c r="Z18" s="20"/>
      <c r="AA18" s="54"/>
      <c r="AB18" s="45" t="s">
        <v>104</v>
      </c>
      <c r="AC18" s="49" t="s">
        <v>104</v>
      </c>
      <c r="AD18" s="51" t="s">
        <v>124</v>
      </c>
      <c r="AE18" s="42" t="s">
        <v>76</v>
      </c>
      <c r="AF18" s="51" t="s">
        <v>125</v>
      </c>
    </row>
    <row r="19" spans="1:32" x14ac:dyDescent="0.25">
      <c r="A19" s="35" t="s">
        <v>78</v>
      </c>
      <c r="B19" s="35" t="s">
        <v>39</v>
      </c>
      <c r="C19" s="35" t="s">
        <v>79</v>
      </c>
      <c r="D19" s="20" t="s">
        <v>80</v>
      </c>
      <c r="E19" s="20" t="s">
        <v>81</v>
      </c>
      <c r="F19" s="20"/>
      <c r="G19" s="56" t="s">
        <v>126</v>
      </c>
      <c r="H19" s="20">
        <v>1</v>
      </c>
      <c r="I19" s="20"/>
      <c r="J19" s="20" t="s">
        <v>127</v>
      </c>
      <c r="K19" s="20" t="s">
        <v>101</v>
      </c>
      <c r="L19" s="20" t="s">
        <v>128</v>
      </c>
      <c r="M19" s="20"/>
      <c r="N19" s="20"/>
      <c r="O19" s="70" t="s">
        <v>45</v>
      </c>
      <c r="P19" s="70" t="s">
        <v>71</v>
      </c>
      <c r="Q19" s="28" t="s">
        <v>129</v>
      </c>
      <c r="R19" s="20" t="s">
        <v>104</v>
      </c>
      <c r="S19" s="20" t="s">
        <v>73</v>
      </c>
      <c r="T19" s="20" t="s">
        <v>105</v>
      </c>
      <c r="U19" s="20" t="s">
        <v>106</v>
      </c>
      <c r="V19" s="20"/>
      <c r="W19" s="20"/>
      <c r="X19" s="20"/>
      <c r="Y19" s="20"/>
      <c r="Z19" s="20"/>
      <c r="AA19" s="54"/>
      <c r="AB19" s="45" t="s">
        <v>104</v>
      </c>
      <c r="AC19" s="49" t="s">
        <v>104</v>
      </c>
      <c r="AD19" s="51" t="s">
        <v>130</v>
      </c>
      <c r="AE19" s="42" t="s">
        <v>76</v>
      </c>
      <c r="AF19" s="51" t="s">
        <v>131</v>
      </c>
    </row>
    <row r="20" spans="1:32" x14ac:dyDescent="0.25">
      <c r="A20" s="35" t="s">
        <v>78</v>
      </c>
      <c r="B20" s="35" t="s">
        <v>39</v>
      </c>
      <c r="C20" s="35" t="s">
        <v>79</v>
      </c>
      <c r="D20" s="20" t="s">
        <v>80</v>
      </c>
      <c r="E20" s="20" t="s">
        <v>81</v>
      </c>
      <c r="F20" s="20"/>
      <c r="G20" s="56" t="s">
        <v>132</v>
      </c>
      <c r="H20" s="20">
        <v>1</v>
      </c>
      <c r="I20" s="20"/>
      <c r="J20" s="20" t="s">
        <v>133</v>
      </c>
      <c r="K20" s="20" t="s">
        <v>101</v>
      </c>
      <c r="L20" s="20" t="s">
        <v>134</v>
      </c>
      <c r="M20" s="20"/>
      <c r="N20" s="20"/>
      <c r="O20" s="70" t="s">
        <v>45</v>
      </c>
      <c r="P20" s="70" t="s">
        <v>71</v>
      </c>
      <c r="Q20" s="28" t="s">
        <v>135</v>
      </c>
      <c r="R20" s="20" t="s">
        <v>104</v>
      </c>
      <c r="S20" s="20" t="s">
        <v>73</v>
      </c>
      <c r="T20" s="20" t="s">
        <v>105</v>
      </c>
      <c r="U20" s="20" t="s">
        <v>106</v>
      </c>
      <c r="V20" s="20"/>
      <c r="W20" s="20"/>
      <c r="X20" s="20"/>
      <c r="Y20" s="20"/>
      <c r="Z20" s="20"/>
      <c r="AA20" s="54"/>
      <c r="AB20" s="45" t="s">
        <v>104</v>
      </c>
      <c r="AC20" s="49" t="s">
        <v>104</v>
      </c>
      <c r="AD20" s="51" t="s">
        <v>136</v>
      </c>
      <c r="AE20" s="42" t="s">
        <v>76</v>
      </c>
      <c r="AF20" s="51" t="s">
        <v>137</v>
      </c>
    </row>
    <row r="21" spans="1:32" x14ac:dyDescent="0.25">
      <c r="A21" s="35" t="s">
        <v>78</v>
      </c>
      <c r="B21" s="35" t="s">
        <v>39</v>
      </c>
      <c r="C21" s="35" t="s">
        <v>79</v>
      </c>
      <c r="D21" s="20" t="s">
        <v>80</v>
      </c>
      <c r="E21" s="20" t="s">
        <v>81</v>
      </c>
      <c r="F21" s="20"/>
      <c r="G21" s="56" t="s">
        <v>138</v>
      </c>
      <c r="H21" s="20">
        <v>1</v>
      </c>
      <c r="I21" s="20"/>
      <c r="J21" s="20" t="s">
        <v>139</v>
      </c>
      <c r="K21" s="20" t="s">
        <v>101</v>
      </c>
      <c r="L21" s="20" t="s">
        <v>134</v>
      </c>
      <c r="M21" s="20"/>
      <c r="N21" s="20"/>
      <c r="O21" s="70" t="s">
        <v>45</v>
      </c>
      <c r="P21" s="70" t="s">
        <v>71</v>
      </c>
      <c r="Q21" s="28" t="s">
        <v>140</v>
      </c>
      <c r="R21" s="20" t="s">
        <v>104</v>
      </c>
      <c r="S21" s="20" t="s">
        <v>73</v>
      </c>
      <c r="T21" s="20" t="s">
        <v>105</v>
      </c>
      <c r="U21" s="20" t="s">
        <v>106</v>
      </c>
      <c r="V21" s="20"/>
      <c r="W21" s="20"/>
      <c r="X21" s="20"/>
      <c r="Y21" s="20"/>
      <c r="Z21" s="20"/>
      <c r="AA21" s="54"/>
      <c r="AB21" s="45" t="s">
        <v>104</v>
      </c>
      <c r="AC21" s="49" t="s">
        <v>104</v>
      </c>
      <c r="AD21" s="51" t="s">
        <v>141</v>
      </c>
      <c r="AE21" s="42" t="s">
        <v>76</v>
      </c>
      <c r="AF21" s="51" t="s">
        <v>142</v>
      </c>
    </row>
    <row r="22" spans="1:32" x14ac:dyDescent="0.25">
      <c r="A22" s="36" t="s">
        <v>78</v>
      </c>
      <c r="B22" s="36" t="s">
        <v>39</v>
      </c>
      <c r="C22" s="36" t="s">
        <v>79</v>
      </c>
      <c r="D22" s="22" t="s">
        <v>80</v>
      </c>
      <c r="E22" s="22" t="s">
        <v>81</v>
      </c>
      <c r="F22" s="22"/>
      <c r="G22" s="57" t="s">
        <v>143</v>
      </c>
      <c r="H22" s="22"/>
      <c r="I22" s="22"/>
      <c r="J22" s="22" t="s">
        <v>144</v>
      </c>
      <c r="K22" s="22"/>
      <c r="L22" s="22"/>
      <c r="M22" s="22"/>
      <c r="N22" s="22"/>
      <c r="O22" s="71" t="s">
        <v>45</v>
      </c>
      <c r="P22" s="71" t="s">
        <v>71</v>
      </c>
      <c r="Q22" s="29"/>
      <c r="R22" s="22"/>
      <c r="S22" s="22" t="s">
        <v>73</v>
      </c>
      <c r="T22" s="22" t="s">
        <v>105</v>
      </c>
      <c r="U22" s="22"/>
      <c r="V22" s="22"/>
      <c r="W22" s="22"/>
      <c r="X22" s="22"/>
      <c r="Y22" s="22"/>
      <c r="Z22" s="22"/>
      <c r="AA22" s="54"/>
      <c r="AB22" s="45"/>
      <c r="AC22" s="49"/>
      <c r="AD22" s="51"/>
      <c r="AE22" s="42"/>
      <c r="AF22" s="51"/>
    </row>
    <row r="23" spans="1:32" x14ac:dyDescent="0.25">
      <c r="A23" s="35" t="s">
        <v>78</v>
      </c>
      <c r="B23" s="35" t="s">
        <v>39</v>
      </c>
      <c r="C23" s="35" t="s">
        <v>79</v>
      </c>
      <c r="D23" s="20" t="s">
        <v>80</v>
      </c>
      <c r="E23" s="20" t="s">
        <v>145</v>
      </c>
      <c r="F23" s="20"/>
      <c r="G23" s="56" t="s">
        <v>146</v>
      </c>
      <c r="H23" s="20" t="s">
        <v>83</v>
      </c>
      <c r="I23" s="20"/>
      <c r="J23" s="20" t="s">
        <v>83</v>
      </c>
      <c r="K23" s="20" t="s">
        <v>101</v>
      </c>
      <c r="L23" s="20" t="s">
        <v>147</v>
      </c>
      <c r="M23" s="20"/>
      <c r="N23" s="20"/>
      <c r="O23" s="70" t="s">
        <v>45</v>
      </c>
      <c r="P23" s="70" t="s">
        <v>148</v>
      </c>
      <c r="Q23" s="28" t="s">
        <v>149</v>
      </c>
      <c r="R23" s="20" t="s">
        <v>150</v>
      </c>
      <c r="S23" s="20" t="s">
        <v>151</v>
      </c>
      <c r="T23" s="20" t="s">
        <v>152</v>
      </c>
      <c r="U23" s="20" t="s">
        <v>106</v>
      </c>
      <c r="V23" s="20"/>
      <c r="W23" s="20"/>
      <c r="X23" s="20"/>
      <c r="Y23" s="20"/>
      <c r="Z23" s="20"/>
      <c r="AA23" s="54"/>
      <c r="AB23" s="45" t="s">
        <v>150</v>
      </c>
      <c r="AC23" s="49" t="s">
        <v>150</v>
      </c>
      <c r="AD23" s="51" t="s">
        <v>153</v>
      </c>
      <c r="AE23" s="42" t="s">
        <v>154</v>
      </c>
      <c r="AF23" s="51" t="s">
        <v>108</v>
      </c>
    </row>
    <row r="24" spans="1:32" x14ac:dyDescent="0.25">
      <c r="A24" s="35" t="s">
        <v>78</v>
      </c>
      <c r="B24" s="35" t="s">
        <v>39</v>
      </c>
      <c r="C24" s="35" t="s">
        <v>79</v>
      </c>
      <c r="D24" s="20" t="s">
        <v>80</v>
      </c>
      <c r="E24" s="20" t="s">
        <v>145</v>
      </c>
      <c r="F24" s="20"/>
      <c r="G24" s="56" t="s">
        <v>155</v>
      </c>
      <c r="H24" s="20" t="s">
        <v>83</v>
      </c>
      <c r="I24" s="20"/>
      <c r="J24" s="20" t="s">
        <v>87</v>
      </c>
      <c r="K24" s="20" t="s">
        <v>156</v>
      </c>
      <c r="L24" s="20" t="s">
        <v>157</v>
      </c>
      <c r="M24" s="20"/>
      <c r="N24" s="20"/>
      <c r="O24" s="70" t="s">
        <v>45</v>
      </c>
      <c r="P24" s="70" t="s">
        <v>148</v>
      </c>
      <c r="Q24" s="28" t="s">
        <v>158</v>
      </c>
      <c r="R24" s="20" t="s">
        <v>150</v>
      </c>
      <c r="S24" s="20" t="s">
        <v>151</v>
      </c>
      <c r="T24" s="20" t="s">
        <v>152</v>
      </c>
      <c r="U24" s="20" t="s">
        <v>159</v>
      </c>
      <c r="V24" s="20"/>
      <c r="W24" s="20"/>
      <c r="X24" s="20"/>
      <c r="Y24" s="20"/>
      <c r="Z24" s="20"/>
      <c r="AA24" s="54"/>
      <c r="AB24" s="45" t="s">
        <v>150</v>
      </c>
      <c r="AC24" s="49" t="s">
        <v>150</v>
      </c>
      <c r="AD24" s="51" t="s">
        <v>160</v>
      </c>
      <c r="AE24" s="42" t="s">
        <v>154</v>
      </c>
      <c r="AF24" s="51" t="s">
        <v>113</v>
      </c>
    </row>
    <row r="25" spans="1:32" x14ac:dyDescent="0.25">
      <c r="A25" s="35" t="s">
        <v>78</v>
      </c>
      <c r="B25" s="35" t="s">
        <v>39</v>
      </c>
      <c r="C25" s="35" t="s">
        <v>79</v>
      </c>
      <c r="D25" s="20" t="s">
        <v>80</v>
      </c>
      <c r="E25" s="20" t="s">
        <v>145</v>
      </c>
      <c r="F25" s="20"/>
      <c r="G25" s="56" t="s">
        <v>161</v>
      </c>
      <c r="H25" s="20" t="s">
        <v>83</v>
      </c>
      <c r="I25" s="20"/>
      <c r="J25" s="20" t="s">
        <v>89</v>
      </c>
      <c r="K25" s="20" t="s">
        <v>101</v>
      </c>
      <c r="L25" s="20" t="s">
        <v>162</v>
      </c>
      <c r="M25" s="20"/>
      <c r="N25" s="20"/>
      <c r="O25" s="70" t="s">
        <v>45</v>
      </c>
      <c r="P25" s="70" t="s">
        <v>148</v>
      </c>
      <c r="Q25" s="28" t="s">
        <v>163</v>
      </c>
      <c r="R25" s="20" t="s">
        <v>150</v>
      </c>
      <c r="S25" s="20" t="s">
        <v>151</v>
      </c>
      <c r="T25" s="20" t="s">
        <v>152</v>
      </c>
      <c r="U25" s="20" t="s">
        <v>106</v>
      </c>
      <c r="V25" s="20"/>
      <c r="W25" s="20"/>
      <c r="X25" s="20"/>
      <c r="Y25" s="20"/>
      <c r="Z25" s="20"/>
      <c r="AA25" s="54"/>
      <c r="AB25" s="45" t="s">
        <v>150</v>
      </c>
      <c r="AC25" s="49" t="s">
        <v>150</v>
      </c>
      <c r="AD25" s="51" t="s">
        <v>164</v>
      </c>
      <c r="AE25" s="42" t="s">
        <v>154</v>
      </c>
      <c r="AF25" s="51" t="s">
        <v>119</v>
      </c>
    </row>
    <row r="26" spans="1:32" x14ac:dyDescent="0.25">
      <c r="A26" s="35" t="s">
        <v>78</v>
      </c>
      <c r="B26" s="35" t="s">
        <v>39</v>
      </c>
      <c r="C26" s="35" t="s">
        <v>79</v>
      </c>
      <c r="D26" s="20" t="s">
        <v>80</v>
      </c>
      <c r="E26" s="20" t="s">
        <v>145</v>
      </c>
      <c r="F26" s="20"/>
      <c r="G26" s="56" t="s">
        <v>165</v>
      </c>
      <c r="H26" s="20" t="s">
        <v>83</v>
      </c>
      <c r="I26" s="20"/>
      <c r="J26" s="20" t="s">
        <v>91</v>
      </c>
      <c r="K26" s="20" t="s">
        <v>101</v>
      </c>
      <c r="L26" s="20" t="s">
        <v>166</v>
      </c>
      <c r="M26" s="20"/>
      <c r="N26" s="20"/>
      <c r="O26" s="70" t="s">
        <v>45</v>
      </c>
      <c r="P26" s="70" t="s">
        <v>148</v>
      </c>
      <c r="Q26" s="28" t="s">
        <v>167</v>
      </c>
      <c r="R26" s="20" t="s">
        <v>150</v>
      </c>
      <c r="S26" s="20" t="s">
        <v>151</v>
      </c>
      <c r="T26" s="20" t="s">
        <v>152</v>
      </c>
      <c r="U26" s="20" t="s">
        <v>106</v>
      </c>
      <c r="V26" s="20"/>
      <c r="W26" s="20"/>
      <c r="X26" s="20"/>
      <c r="Y26" s="20"/>
      <c r="Z26" s="20"/>
      <c r="AA26" s="54"/>
      <c r="AB26" s="45" t="s">
        <v>150</v>
      </c>
      <c r="AC26" s="49" t="s">
        <v>150</v>
      </c>
      <c r="AD26" s="51" t="s">
        <v>168</v>
      </c>
      <c r="AE26" s="42" t="s">
        <v>154</v>
      </c>
      <c r="AF26" s="51" t="s">
        <v>125</v>
      </c>
    </row>
    <row r="27" spans="1:32" x14ac:dyDescent="0.25">
      <c r="A27" s="35" t="s">
        <v>78</v>
      </c>
      <c r="B27" s="35" t="s">
        <v>39</v>
      </c>
      <c r="C27" s="35" t="s">
        <v>79</v>
      </c>
      <c r="D27" s="20" t="s">
        <v>80</v>
      </c>
      <c r="E27" s="20" t="s">
        <v>145</v>
      </c>
      <c r="F27" s="20"/>
      <c r="G27" s="56" t="s">
        <v>169</v>
      </c>
      <c r="H27" s="20"/>
      <c r="I27" s="20"/>
      <c r="J27" s="20" t="s">
        <v>69</v>
      </c>
      <c r="K27" s="20" t="s">
        <v>170</v>
      </c>
      <c r="L27" s="21"/>
      <c r="M27" s="20"/>
      <c r="N27" s="20"/>
      <c r="O27" s="70" t="s">
        <v>45</v>
      </c>
      <c r="P27" s="70" t="s">
        <v>148</v>
      </c>
      <c r="Q27" s="20" t="s">
        <v>171</v>
      </c>
      <c r="R27" s="43" t="s">
        <v>150</v>
      </c>
      <c r="S27" s="20" t="s">
        <v>151</v>
      </c>
      <c r="T27" s="20" t="s">
        <v>172</v>
      </c>
      <c r="U27" s="20" t="s">
        <v>48</v>
      </c>
      <c r="V27" s="20"/>
      <c r="W27" s="20"/>
      <c r="X27" s="20"/>
      <c r="Y27" s="20"/>
      <c r="Z27" s="20"/>
      <c r="AA27" s="54"/>
      <c r="AB27" s="45" t="s">
        <v>150</v>
      </c>
      <c r="AC27" s="49" t="s">
        <v>150</v>
      </c>
      <c r="AD27" s="51" t="s">
        <v>173</v>
      </c>
      <c r="AE27" s="42" t="s">
        <v>154</v>
      </c>
      <c r="AF27" s="51" t="s">
        <v>131</v>
      </c>
    </row>
    <row r="28" spans="1:32" x14ac:dyDescent="0.25">
      <c r="A28" s="35" t="s">
        <v>78</v>
      </c>
      <c r="B28" s="35" t="s">
        <v>39</v>
      </c>
      <c r="C28" s="35" t="s">
        <v>79</v>
      </c>
      <c r="D28" s="20" t="s">
        <v>80</v>
      </c>
      <c r="E28" s="20" t="s">
        <v>145</v>
      </c>
      <c r="F28" s="20"/>
      <c r="G28" s="56" t="s">
        <v>174</v>
      </c>
      <c r="H28" s="20"/>
      <c r="I28" s="20"/>
      <c r="J28" s="20" t="s">
        <v>94</v>
      </c>
      <c r="K28" s="20"/>
      <c r="L28" s="20"/>
      <c r="M28" s="20"/>
      <c r="N28" s="20"/>
      <c r="O28" s="70" t="s">
        <v>45</v>
      </c>
      <c r="P28" s="70" t="s">
        <v>71</v>
      </c>
      <c r="Q28" s="28"/>
      <c r="R28" s="20"/>
      <c r="S28" s="20" t="s">
        <v>73</v>
      </c>
      <c r="T28" s="20" t="s">
        <v>175</v>
      </c>
      <c r="U28" s="20"/>
      <c r="V28" s="20"/>
      <c r="W28" s="20"/>
      <c r="X28" s="20"/>
      <c r="Y28" s="20"/>
      <c r="Z28" s="20"/>
      <c r="AA28" s="54"/>
      <c r="AB28" s="45"/>
      <c r="AC28" s="49"/>
      <c r="AD28" s="51"/>
      <c r="AE28" s="42"/>
      <c r="AF28" s="51"/>
    </row>
    <row r="29" spans="1:32" x14ac:dyDescent="0.25">
      <c r="A29" s="35" t="s">
        <v>78</v>
      </c>
      <c r="B29" s="35" t="s">
        <v>39</v>
      </c>
      <c r="C29" s="35" t="s">
        <v>79</v>
      </c>
      <c r="D29" s="20" t="s">
        <v>80</v>
      </c>
      <c r="E29" s="20" t="s">
        <v>145</v>
      </c>
      <c r="F29" s="20"/>
      <c r="G29" s="56" t="s">
        <v>176</v>
      </c>
      <c r="H29" s="20"/>
      <c r="I29" s="20"/>
      <c r="J29" s="20" t="s">
        <v>96</v>
      </c>
      <c r="K29" s="20"/>
      <c r="L29" s="20"/>
      <c r="M29" s="20"/>
      <c r="N29" s="20"/>
      <c r="O29" s="70" t="s">
        <v>45</v>
      </c>
      <c r="P29" s="70" t="s">
        <v>71</v>
      </c>
      <c r="Q29" s="28"/>
      <c r="R29" s="20"/>
      <c r="S29" s="20" t="s">
        <v>73</v>
      </c>
      <c r="T29" s="20" t="s">
        <v>175</v>
      </c>
      <c r="U29" s="20"/>
      <c r="V29" s="20"/>
      <c r="W29" s="20"/>
      <c r="X29" s="20"/>
      <c r="Y29" s="20"/>
      <c r="Z29" s="20"/>
      <c r="AA29" s="54"/>
      <c r="AB29" s="45"/>
      <c r="AC29" s="49"/>
      <c r="AD29" s="51"/>
      <c r="AE29" s="42"/>
      <c r="AF29" s="51"/>
    </row>
    <row r="30" spans="1:32" x14ac:dyDescent="0.25">
      <c r="A30" s="35" t="s">
        <v>78</v>
      </c>
      <c r="B30" s="35" t="s">
        <v>39</v>
      </c>
      <c r="C30" s="35" t="s">
        <v>79</v>
      </c>
      <c r="D30" s="20" t="s">
        <v>80</v>
      </c>
      <c r="E30" s="20" t="s">
        <v>145</v>
      </c>
      <c r="F30" s="20"/>
      <c r="G30" s="56" t="s">
        <v>177</v>
      </c>
      <c r="H30" s="20"/>
      <c r="I30" s="20"/>
      <c r="J30" s="20" t="s">
        <v>98</v>
      </c>
      <c r="K30" s="20"/>
      <c r="L30" s="20"/>
      <c r="M30" s="20"/>
      <c r="N30" s="20"/>
      <c r="O30" s="70" t="s">
        <v>45</v>
      </c>
      <c r="P30" s="70" t="s">
        <v>71</v>
      </c>
      <c r="Q30" s="28"/>
      <c r="R30" s="20"/>
      <c r="S30" s="20" t="s">
        <v>73</v>
      </c>
      <c r="T30" s="20" t="s">
        <v>175</v>
      </c>
      <c r="U30" s="20"/>
      <c r="V30" s="20"/>
      <c r="W30" s="20"/>
      <c r="X30" s="20"/>
      <c r="Y30" s="20"/>
      <c r="Z30" s="20"/>
      <c r="AA30" s="54"/>
      <c r="AB30" s="45"/>
      <c r="AC30" s="49"/>
      <c r="AD30" s="51"/>
      <c r="AE30" s="42"/>
      <c r="AF30" s="51"/>
    </row>
    <row r="31" spans="1:32" x14ac:dyDescent="0.25">
      <c r="A31" s="35" t="s">
        <v>78</v>
      </c>
      <c r="B31" s="35" t="s">
        <v>39</v>
      </c>
      <c r="C31" s="35" t="s">
        <v>79</v>
      </c>
      <c r="D31" s="20" t="s">
        <v>80</v>
      </c>
      <c r="E31" s="20" t="s">
        <v>145</v>
      </c>
      <c r="F31" s="20"/>
      <c r="G31" s="56" t="s">
        <v>178</v>
      </c>
      <c r="H31" s="20" t="s">
        <v>83</v>
      </c>
      <c r="I31" s="20"/>
      <c r="J31" s="20" t="s">
        <v>100</v>
      </c>
      <c r="K31" s="20" t="s">
        <v>101</v>
      </c>
      <c r="L31" s="20" t="s">
        <v>179</v>
      </c>
      <c r="M31" s="20"/>
      <c r="N31" s="20"/>
      <c r="O31" s="70" t="s">
        <v>45</v>
      </c>
      <c r="P31" s="70" t="s">
        <v>180</v>
      </c>
      <c r="Q31" s="28" t="s">
        <v>149</v>
      </c>
      <c r="R31" s="20" t="s">
        <v>104</v>
      </c>
      <c r="S31" s="20" t="s">
        <v>151</v>
      </c>
      <c r="T31" s="20" t="s">
        <v>152</v>
      </c>
      <c r="U31" s="20" t="s">
        <v>106</v>
      </c>
      <c r="V31" s="20"/>
      <c r="W31" s="20"/>
      <c r="X31" s="20"/>
      <c r="Y31" s="20"/>
      <c r="Z31" s="20"/>
      <c r="AA31" s="54"/>
      <c r="AB31" s="45" t="s">
        <v>104</v>
      </c>
      <c r="AC31" s="49" t="s">
        <v>104</v>
      </c>
      <c r="AD31" s="51" t="s">
        <v>181</v>
      </c>
      <c r="AE31" s="42" t="s">
        <v>182</v>
      </c>
      <c r="AF31" s="51" t="s">
        <v>108</v>
      </c>
    </row>
    <row r="32" spans="1:32" x14ac:dyDescent="0.25">
      <c r="A32" s="35" t="s">
        <v>78</v>
      </c>
      <c r="B32" s="35" t="s">
        <v>39</v>
      </c>
      <c r="C32" s="35" t="s">
        <v>79</v>
      </c>
      <c r="D32" s="20" t="s">
        <v>80</v>
      </c>
      <c r="E32" s="20" t="s">
        <v>145</v>
      </c>
      <c r="F32" s="20"/>
      <c r="G32" s="56" t="s">
        <v>183</v>
      </c>
      <c r="H32" s="20" t="s">
        <v>83</v>
      </c>
      <c r="I32" s="20"/>
      <c r="J32" s="20" t="s">
        <v>57</v>
      </c>
      <c r="K32" s="20" t="s">
        <v>156</v>
      </c>
      <c r="L32" s="20" t="s">
        <v>184</v>
      </c>
      <c r="M32" s="20"/>
      <c r="N32" s="20"/>
      <c r="O32" s="70" t="s">
        <v>45</v>
      </c>
      <c r="P32" s="70" t="s">
        <v>180</v>
      </c>
      <c r="Q32" s="28" t="s">
        <v>158</v>
      </c>
      <c r="R32" s="20" t="s">
        <v>104</v>
      </c>
      <c r="S32" s="20" t="s">
        <v>151</v>
      </c>
      <c r="T32" s="20" t="s">
        <v>152</v>
      </c>
      <c r="U32" s="20" t="s">
        <v>159</v>
      </c>
      <c r="V32" s="20"/>
      <c r="W32" s="20"/>
      <c r="X32" s="20"/>
      <c r="Y32" s="20"/>
      <c r="Z32" s="20"/>
      <c r="AA32" s="54"/>
      <c r="AB32" s="45" t="s">
        <v>104</v>
      </c>
      <c r="AC32" s="49" t="s">
        <v>104</v>
      </c>
      <c r="AD32" s="51" t="s">
        <v>185</v>
      </c>
      <c r="AE32" s="42" t="s">
        <v>182</v>
      </c>
      <c r="AF32" s="51" t="s">
        <v>113</v>
      </c>
    </row>
    <row r="33" spans="1:34" x14ac:dyDescent="0.25">
      <c r="A33" s="35" t="s">
        <v>78</v>
      </c>
      <c r="B33" s="35" t="s">
        <v>39</v>
      </c>
      <c r="C33" s="35" t="s">
        <v>79</v>
      </c>
      <c r="D33" s="20" t="s">
        <v>80</v>
      </c>
      <c r="E33" s="20" t="s">
        <v>145</v>
      </c>
      <c r="F33" s="20"/>
      <c r="G33" s="56" t="s">
        <v>186</v>
      </c>
      <c r="H33" s="20" t="s">
        <v>83</v>
      </c>
      <c r="I33" s="20"/>
      <c r="J33" s="20" t="s">
        <v>115</v>
      </c>
      <c r="K33" s="20" t="s">
        <v>101</v>
      </c>
      <c r="L33" s="20" t="s">
        <v>187</v>
      </c>
      <c r="M33" s="20"/>
      <c r="N33" s="20"/>
      <c r="O33" s="70" t="s">
        <v>45</v>
      </c>
      <c r="P33" s="70" t="s">
        <v>180</v>
      </c>
      <c r="Q33" s="28" t="s">
        <v>163</v>
      </c>
      <c r="R33" s="20" t="s">
        <v>104</v>
      </c>
      <c r="S33" s="20" t="s">
        <v>151</v>
      </c>
      <c r="T33" s="20" t="s">
        <v>152</v>
      </c>
      <c r="U33" s="20" t="s">
        <v>106</v>
      </c>
      <c r="V33" s="20"/>
      <c r="W33" s="20"/>
      <c r="X33" s="20"/>
      <c r="Y33" s="20"/>
      <c r="Z33" s="20"/>
      <c r="AA33" s="54"/>
      <c r="AB33" s="45" t="s">
        <v>104</v>
      </c>
      <c r="AC33" s="49" t="s">
        <v>104</v>
      </c>
      <c r="AD33" s="51" t="s">
        <v>188</v>
      </c>
      <c r="AE33" s="42" t="s">
        <v>182</v>
      </c>
      <c r="AF33" s="51" t="s">
        <v>119</v>
      </c>
    </row>
    <row r="34" spans="1:34" x14ac:dyDescent="0.25">
      <c r="A34" s="35" t="s">
        <v>78</v>
      </c>
      <c r="B34" s="35" t="s">
        <v>39</v>
      </c>
      <c r="C34" s="35" t="s">
        <v>79</v>
      </c>
      <c r="D34" s="20" t="s">
        <v>80</v>
      </c>
      <c r="E34" s="20" t="s">
        <v>145</v>
      </c>
      <c r="F34" s="20"/>
      <c r="G34" s="56" t="s">
        <v>189</v>
      </c>
      <c r="H34" s="20" t="s">
        <v>83</v>
      </c>
      <c r="I34" s="20"/>
      <c r="J34" s="20" t="s">
        <v>121</v>
      </c>
      <c r="K34" s="20" t="s">
        <v>101</v>
      </c>
      <c r="L34" s="20" t="s">
        <v>190</v>
      </c>
      <c r="M34" s="20"/>
      <c r="N34" s="20"/>
      <c r="O34" s="70" t="s">
        <v>45</v>
      </c>
      <c r="P34" s="70" t="s">
        <v>180</v>
      </c>
      <c r="Q34" s="28" t="s">
        <v>167</v>
      </c>
      <c r="R34" s="20" t="s">
        <v>104</v>
      </c>
      <c r="S34" s="20" t="s">
        <v>151</v>
      </c>
      <c r="T34" s="20" t="s">
        <v>152</v>
      </c>
      <c r="U34" s="20" t="s">
        <v>106</v>
      </c>
      <c r="V34" s="20"/>
      <c r="W34" s="20"/>
      <c r="X34" s="20"/>
      <c r="Y34" s="20"/>
      <c r="Z34" s="20"/>
      <c r="AA34" s="54"/>
      <c r="AB34" s="45" t="s">
        <v>104</v>
      </c>
      <c r="AC34" s="49" t="s">
        <v>104</v>
      </c>
      <c r="AD34" s="51" t="s">
        <v>191</v>
      </c>
      <c r="AE34" s="42" t="s">
        <v>182</v>
      </c>
      <c r="AF34" s="51" t="s">
        <v>125</v>
      </c>
    </row>
    <row r="35" spans="1:34" x14ac:dyDescent="0.25">
      <c r="A35" s="35" t="s">
        <v>78</v>
      </c>
      <c r="B35" s="35" t="s">
        <v>39</v>
      </c>
      <c r="C35" s="35" t="s">
        <v>79</v>
      </c>
      <c r="D35" s="20" t="s">
        <v>80</v>
      </c>
      <c r="E35" s="20" t="s">
        <v>145</v>
      </c>
      <c r="F35" s="20"/>
      <c r="G35" s="56" t="s">
        <v>192</v>
      </c>
      <c r="H35" s="20"/>
      <c r="I35" s="20"/>
      <c r="J35" s="20" t="s">
        <v>127</v>
      </c>
      <c r="K35" s="20" t="s">
        <v>170</v>
      </c>
      <c r="L35" s="21"/>
      <c r="M35" s="20"/>
      <c r="N35" s="20"/>
      <c r="O35" s="70" t="s">
        <v>45</v>
      </c>
      <c r="P35" s="70" t="s">
        <v>180</v>
      </c>
      <c r="Q35" s="28" t="s">
        <v>171</v>
      </c>
      <c r="R35" s="43" t="s">
        <v>104</v>
      </c>
      <c r="S35" s="20" t="s">
        <v>151</v>
      </c>
      <c r="T35" s="20" t="s">
        <v>172</v>
      </c>
      <c r="U35" s="20" t="s">
        <v>48</v>
      </c>
      <c r="V35" s="20"/>
      <c r="W35" s="20"/>
      <c r="X35" s="20"/>
      <c r="Y35" s="20"/>
      <c r="Z35" s="20"/>
      <c r="AA35" s="54"/>
      <c r="AB35" s="45" t="s">
        <v>104</v>
      </c>
      <c r="AC35" s="49" t="s">
        <v>104</v>
      </c>
      <c r="AD35" s="51" t="s">
        <v>193</v>
      </c>
      <c r="AE35" s="42" t="s">
        <v>182</v>
      </c>
      <c r="AF35" s="51" t="s">
        <v>131</v>
      </c>
    </row>
    <row r="36" spans="1:34" x14ac:dyDescent="0.25">
      <c r="A36" s="35" t="s">
        <v>78</v>
      </c>
      <c r="B36" s="35" t="s">
        <v>39</v>
      </c>
      <c r="C36" s="35" t="s">
        <v>79</v>
      </c>
      <c r="D36" s="20" t="s">
        <v>80</v>
      </c>
      <c r="E36" s="20" t="s">
        <v>145</v>
      </c>
      <c r="F36" s="20"/>
      <c r="G36" s="56" t="s">
        <v>194</v>
      </c>
      <c r="H36" s="20"/>
      <c r="I36" s="20"/>
      <c r="J36" s="20" t="s">
        <v>133</v>
      </c>
      <c r="K36" s="20"/>
      <c r="L36" s="20"/>
      <c r="M36" s="20"/>
      <c r="N36" s="20"/>
      <c r="O36" s="70" t="s">
        <v>45</v>
      </c>
      <c r="P36" s="70" t="s">
        <v>71</v>
      </c>
      <c r="Q36" s="28"/>
      <c r="R36" s="20"/>
      <c r="S36" s="20" t="s">
        <v>73</v>
      </c>
      <c r="T36" s="20" t="s">
        <v>195</v>
      </c>
      <c r="U36" s="20"/>
      <c r="V36" s="20"/>
      <c r="W36" s="20"/>
      <c r="X36" s="20"/>
      <c r="Y36" s="20"/>
      <c r="Z36" s="20"/>
      <c r="AA36" s="54"/>
      <c r="AB36" s="45"/>
      <c r="AC36" s="49"/>
      <c r="AD36" s="51"/>
      <c r="AE36" s="42"/>
      <c r="AF36" s="51"/>
    </row>
    <row r="37" spans="1:34" x14ac:dyDescent="0.25">
      <c r="A37" s="35" t="s">
        <v>78</v>
      </c>
      <c r="B37" s="35" t="s">
        <v>39</v>
      </c>
      <c r="C37" s="35" t="s">
        <v>79</v>
      </c>
      <c r="D37" s="20" t="s">
        <v>80</v>
      </c>
      <c r="E37" s="20" t="s">
        <v>145</v>
      </c>
      <c r="F37" s="20"/>
      <c r="G37" s="56" t="s">
        <v>196</v>
      </c>
      <c r="H37" s="20"/>
      <c r="I37" s="20"/>
      <c r="J37" s="20" t="s">
        <v>139</v>
      </c>
      <c r="K37" s="20"/>
      <c r="L37" s="20"/>
      <c r="M37" s="20"/>
      <c r="N37" s="20"/>
      <c r="O37" s="70" t="s">
        <v>45</v>
      </c>
      <c r="P37" s="70" t="s">
        <v>71</v>
      </c>
      <c r="Q37" s="28"/>
      <c r="R37" s="20"/>
      <c r="S37" s="20" t="s">
        <v>73</v>
      </c>
      <c r="T37" s="20" t="s">
        <v>195</v>
      </c>
      <c r="U37" s="20"/>
      <c r="V37" s="20"/>
      <c r="W37" s="20"/>
      <c r="X37" s="20"/>
      <c r="Y37" s="20"/>
      <c r="Z37" s="20"/>
      <c r="AA37" s="54"/>
      <c r="AB37" s="45"/>
      <c r="AC37" s="49"/>
      <c r="AD37" s="51"/>
      <c r="AE37" s="42"/>
      <c r="AF37" s="51"/>
    </row>
    <row r="38" spans="1:34" x14ac:dyDescent="0.25">
      <c r="A38" s="36" t="s">
        <v>78</v>
      </c>
      <c r="B38" s="36" t="s">
        <v>39</v>
      </c>
      <c r="C38" s="36" t="s">
        <v>79</v>
      </c>
      <c r="D38" s="22" t="s">
        <v>80</v>
      </c>
      <c r="E38" s="22" t="s">
        <v>145</v>
      </c>
      <c r="F38" s="22"/>
      <c r="G38" s="57" t="s">
        <v>197</v>
      </c>
      <c r="H38" s="22"/>
      <c r="I38" s="22"/>
      <c r="J38" s="22" t="s">
        <v>144</v>
      </c>
      <c r="K38" s="22"/>
      <c r="L38" s="22"/>
      <c r="M38" s="22"/>
      <c r="N38" s="22"/>
      <c r="O38" s="71" t="s">
        <v>45</v>
      </c>
      <c r="P38" s="71" t="s">
        <v>71</v>
      </c>
      <c r="Q38" s="29"/>
      <c r="R38" s="22"/>
      <c r="S38" s="22" t="s">
        <v>73</v>
      </c>
      <c r="T38" s="22" t="s">
        <v>195</v>
      </c>
      <c r="U38" s="22"/>
      <c r="V38" s="22"/>
      <c r="W38" s="22"/>
      <c r="X38" s="22"/>
      <c r="Y38" s="22"/>
      <c r="Z38" s="22"/>
      <c r="AA38" s="54"/>
      <c r="AB38" s="45"/>
      <c r="AC38" s="49"/>
      <c r="AD38" s="51"/>
      <c r="AE38" s="42"/>
      <c r="AF38" s="51"/>
    </row>
    <row r="39" spans="1:34" x14ac:dyDescent="0.25">
      <c r="A39" s="20" t="s">
        <v>198</v>
      </c>
      <c r="B39" s="35" t="s">
        <v>39</v>
      </c>
      <c r="C39" s="35" t="s">
        <v>199</v>
      </c>
      <c r="D39" s="20" t="s">
        <v>200</v>
      </c>
      <c r="E39" s="20" t="s">
        <v>201</v>
      </c>
      <c r="F39" s="20"/>
      <c r="G39" s="56" t="s">
        <v>202</v>
      </c>
      <c r="H39" s="20"/>
      <c r="I39" s="20"/>
      <c r="J39" s="20" t="s">
        <v>83</v>
      </c>
      <c r="K39" s="20"/>
      <c r="L39" s="20" t="s">
        <v>203</v>
      </c>
      <c r="M39" s="20"/>
      <c r="N39" s="20"/>
      <c r="O39" s="70" t="s">
        <v>45</v>
      </c>
      <c r="P39" s="70" t="s">
        <v>71</v>
      </c>
      <c r="Q39" s="28" t="s">
        <v>204</v>
      </c>
      <c r="R39" s="20"/>
      <c r="S39" s="20" t="s">
        <v>73</v>
      </c>
      <c r="T39" s="20" t="s">
        <v>205</v>
      </c>
      <c r="U39" s="20"/>
      <c r="V39" s="20"/>
      <c r="W39" s="20"/>
      <c r="X39" s="20"/>
      <c r="Y39" s="20"/>
      <c r="Z39" s="20"/>
      <c r="AA39" s="54"/>
      <c r="AB39" s="45" t="s">
        <v>206</v>
      </c>
      <c r="AC39" s="49" t="s">
        <v>206</v>
      </c>
      <c r="AD39" s="51" t="s">
        <v>207</v>
      </c>
      <c r="AE39" s="58" t="s">
        <v>208</v>
      </c>
      <c r="AF39" s="55" t="s">
        <v>131</v>
      </c>
      <c r="AG39" t="s">
        <v>85</v>
      </c>
    </row>
    <row r="40" spans="1:34" x14ac:dyDescent="0.25">
      <c r="A40" s="20" t="s">
        <v>198</v>
      </c>
      <c r="B40" s="35" t="s">
        <v>39</v>
      </c>
      <c r="C40" s="35" t="s">
        <v>199</v>
      </c>
      <c r="D40" s="20" t="s">
        <v>200</v>
      </c>
      <c r="E40" s="20" t="s">
        <v>201</v>
      </c>
      <c r="F40" s="20"/>
      <c r="G40" s="56" t="s">
        <v>209</v>
      </c>
      <c r="H40" s="20"/>
      <c r="I40" s="20"/>
      <c r="J40" s="20" t="s">
        <v>87</v>
      </c>
      <c r="K40" s="20"/>
      <c r="L40" s="20"/>
      <c r="M40" s="20"/>
      <c r="N40" s="20"/>
      <c r="O40" s="70" t="s">
        <v>45</v>
      </c>
      <c r="P40" s="70" t="s">
        <v>71</v>
      </c>
      <c r="Q40" s="28"/>
      <c r="R40" s="20"/>
      <c r="S40" s="20" t="s">
        <v>73</v>
      </c>
      <c r="T40" s="20" t="s">
        <v>205</v>
      </c>
      <c r="U40" s="20"/>
      <c r="V40" s="20"/>
      <c r="W40" s="20"/>
      <c r="X40" s="20"/>
      <c r="Y40" s="20"/>
      <c r="Z40" s="20"/>
      <c r="AA40" s="54"/>
      <c r="AB40" s="45"/>
      <c r="AC40" s="49"/>
      <c r="AD40" s="51"/>
      <c r="AE40" s="58"/>
      <c r="AF40" s="55"/>
    </row>
    <row r="41" spans="1:34" x14ac:dyDescent="0.25">
      <c r="A41" s="20" t="s">
        <v>198</v>
      </c>
      <c r="B41" s="35" t="s">
        <v>39</v>
      </c>
      <c r="C41" s="35" t="s">
        <v>199</v>
      </c>
      <c r="D41" s="20" t="s">
        <v>200</v>
      </c>
      <c r="E41" s="20" t="s">
        <v>201</v>
      </c>
      <c r="F41" s="20"/>
      <c r="G41" s="56" t="s">
        <v>210</v>
      </c>
      <c r="H41" s="20"/>
      <c r="I41" s="20"/>
      <c r="J41" s="20" t="s">
        <v>89</v>
      </c>
      <c r="K41" s="20"/>
      <c r="L41" s="20"/>
      <c r="M41" s="20"/>
      <c r="N41" s="20"/>
      <c r="O41" s="70" t="s">
        <v>45</v>
      </c>
      <c r="P41" s="70" t="s">
        <v>71</v>
      </c>
      <c r="Q41" s="28"/>
      <c r="R41" s="20"/>
      <c r="S41" s="20" t="s">
        <v>73</v>
      </c>
      <c r="T41" s="20" t="s">
        <v>205</v>
      </c>
      <c r="U41" s="20"/>
      <c r="V41" s="20"/>
      <c r="W41" s="20"/>
      <c r="X41" s="20"/>
      <c r="Y41" s="20"/>
      <c r="Z41" s="20"/>
      <c r="AA41" s="54"/>
      <c r="AB41" s="45"/>
      <c r="AC41" s="49"/>
      <c r="AD41" s="51"/>
      <c r="AE41" s="58"/>
      <c r="AF41" s="55"/>
      <c r="AH41" s="75"/>
    </row>
    <row r="42" spans="1:34" x14ac:dyDescent="0.25">
      <c r="A42" s="20" t="s">
        <v>198</v>
      </c>
      <c r="B42" s="35" t="s">
        <v>39</v>
      </c>
      <c r="C42" s="35" t="s">
        <v>199</v>
      </c>
      <c r="D42" s="20" t="s">
        <v>200</v>
      </c>
      <c r="E42" s="20" t="s">
        <v>201</v>
      </c>
      <c r="F42" s="20"/>
      <c r="G42" s="56" t="s">
        <v>211</v>
      </c>
      <c r="H42" s="20"/>
      <c r="I42" s="20"/>
      <c r="J42" s="20" t="s">
        <v>91</v>
      </c>
      <c r="K42" s="20"/>
      <c r="L42" s="20"/>
      <c r="M42" s="20"/>
      <c r="N42" s="20"/>
      <c r="O42" s="70" t="s">
        <v>45</v>
      </c>
      <c r="P42" s="70" t="s">
        <v>71</v>
      </c>
      <c r="Q42" s="28"/>
      <c r="R42" s="20"/>
      <c r="S42" s="20" t="s">
        <v>73</v>
      </c>
      <c r="T42" s="20" t="s">
        <v>205</v>
      </c>
      <c r="U42" s="20"/>
      <c r="V42" s="20"/>
      <c r="W42" s="20"/>
      <c r="X42" s="20"/>
      <c r="Y42" s="20"/>
      <c r="Z42" s="20"/>
      <c r="AA42" s="54"/>
      <c r="AB42" s="45"/>
      <c r="AC42" s="49"/>
      <c r="AD42" s="51"/>
      <c r="AE42" s="42"/>
      <c r="AF42" s="51"/>
    </row>
    <row r="43" spans="1:34" x14ac:dyDescent="0.25">
      <c r="A43" s="20" t="s">
        <v>198</v>
      </c>
      <c r="B43" s="35" t="s">
        <v>39</v>
      </c>
      <c r="C43" s="35" t="s">
        <v>199</v>
      </c>
      <c r="D43" s="20" t="s">
        <v>200</v>
      </c>
      <c r="E43" s="20" t="s">
        <v>201</v>
      </c>
      <c r="F43" s="20"/>
      <c r="G43" s="56" t="s">
        <v>212</v>
      </c>
      <c r="H43" s="20"/>
      <c r="I43" s="20"/>
      <c r="J43" s="20" t="s">
        <v>69</v>
      </c>
      <c r="K43" s="20"/>
      <c r="L43" s="20"/>
      <c r="M43" s="20"/>
      <c r="N43" s="20"/>
      <c r="O43" s="70" t="s">
        <v>45</v>
      </c>
      <c r="P43" s="70" t="s">
        <v>71</v>
      </c>
      <c r="Q43" s="28"/>
      <c r="R43" s="20"/>
      <c r="S43" s="20" t="s">
        <v>73</v>
      </c>
      <c r="T43" s="20" t="s">
        <v>205</v>
      </c>
      <c r="U43" s="20"/>
      <c r="V43" s="20"/>
      <c r="W43" s="20"/>
      <c r="X43" s="20"/>
      <c r="Y43" s="20"/>
      <c r="Z43" s="20"/>
      <c r="AA43" s="54"/>
      <c r="AB43" s="45"/>
      <c r="AC43" s="49"/>
      <c r="AD43" s="51"/>
      <c r="AE43" s="42"/>
      <c r="AF43" s="51"/>
    </row>
    <row r="44" spans="1:34" x14ac:dyDescent="0.25">
      <c r="A44" s="20" t="s">
        <v>198</v>
      </c>
      <c r="B44" s="35" t="s">
        <v>39</v>
      </c>
      <c r="C44" s="35" t="s">
        <v>199</v>
      </c>
      <c r="D44" s="20" t="s">
        <v>200</v>
      </c>
      <c r="E44" s="20" t="s">
        <v>201</v>
      </c>
      <c r="F44" s="20"/>
      <c r="G44" s="56" t="s">
        <v>213</v>
      </c>
      <c r="H44" s="20"/>
      <c r="I44" s="20"/>
      <c r="J44" s="20" t="s">
        <v>94</v>
      </c>
      <c r="K44" s="20"/>
      <c r="L44" s="20"/>
      <c r="M44" s="20"/>
      <c r="N44" s="20"/>
      <c r="O44" s="70" t="s">
        <v>45</v>
      </c>
      <c r="P44" s="70" t="s">
        <v>71</v>
      </c>
      <c r="Q44" s="28"/>
      <c r="R44" s="20"/>
      <c r="S44" s="20" t="s">
        <v>73</v>
      </c>
      <c r="T44" s="20" t="s">
        <v>205</v>
      </c>
      <c r="U44" s="20"/>
      <c r="V44" s="20"/>
      <c r="W44" s="20"/>
      <c r="X44" s="20"/>
      <c r="Y44" s="20"/>
      <c r="Z44" s="20"/>
      <c r="AA44" s="54"/>
      <c r="AB44" s="45"/>
      <c r="AC44" s="49"/>
      <c r="AD44" s="51"/>
      <c r="AE44" s="42"/>
      <c r="AF44" s="51"/>
    </row>
    <row r="45" spans="1:34" x14ac:dyDescent="0.25">
      <c r="A45" s="20" t="s">
        <v>198</v>
      </c>
      <c r="B45" s="35" t="s">
        <v>39</v>
      </c>
      <c r="C45" s="35" t="s">
        <v>199</v>
      </c>
      <c r="D45" s="20" t="s">
        <v>200</v>
      </c>
      <c r="E45" s="20" t="s">
        <v>201</v>
      </c>
      <c r="F45" s="20"/>
      <c r="G45" s="56" t="s">
        <v>214</v>
      </c>
      <c r="H45" s="20"/>
      <c r="I45" s="20"/>
      <c r="J45" s="20" t="s">
        <v>96</v>
      </c>
      <c r="K45" s="20"/>
      <c r="L45" s="20"/>
      <c r="M45" s="20"/>
      <c r="N45" s="20"/>
      <c r="O45" s="70" t="s">
        <v>45</v>
      </c>
      <c r="P45" s="70" t="s">
        <v>71</v>
      </c>
      <c r="Q45" s="28"/>
      <c r="R45" s="20"/>
      <c r="S45" s="20" t="s">
        <v>73</v>
      </c>
      <c r="T45" s="20" t="s">
        <v>205</v>
      </c>
      <c r="U45" s="20"/>
      <c r="V45" s="20"/>
      <c r="W45" s="20"/>
      <c r="X45" s="20"/>
      <c r="Y45" s="20"/>
      <c r="Z45" s="20"/>
      <c r="AA45" s="54"/>
      <c r="AB45" s="45"/>
      <c r="AC45" s="49"/>
      <c r="AD45" s="51"/>
      <c r="AE45" s="42"/>
      <c r="AF45" s="51"/>
    </row>
    <row r="46" spans="1:34" x14ac:dyDescent="0.25">
      <c r="A46" s="20" t="s">
        <v>198</v>
      </c>
      <c r="B46" s="35" t="s">
        <v>39</v>
      </c>
      <c r="C46" s="35" t="s">
        <v>199</v>
      </c>
      <c r="D46" s="20" t="s">
        <v>200</v>
      </c>
      <c r="E46" s="20" t="s">
        <v>201</v>
      </c>
      <c r="F46" s="20"/>
      <c r="G46" s="56" t="s">
        <v>215</v>
      </c>
      <c r="H46" s="20"/>
      <c r="I46" s="20"/>
      <c r="J46" s="20" t="s">
        <v>98</v>
      </c>
      <c r="K46" s="20"/>
      <c r="L46" s="20"/>
      <c r="M46" s="20"/>
      <c r="N46" s="20"/>
      <c r="O46" s="70" t="s">
        <v>45</v>
      </c>
      <c r="P46" s="70" t="s">
        <v>71</v>
      </c>
      <c r="Q46" s="28"/>
      <c r="R46" s="20"/>
      <c r="S46" s="20" t="s">
        <v>73</v>
      </c>
      <c r="T46" s="20" t="s">
        <v>205</v>
      </c>
      <c r="U46" s="20"/>
      <c r="V46" s="20"/>
      <c r="W46" s="20"/>
      <c r="X46" s="20"/>
      <c r="Y46" s="20"/>
      <c r="Z46" s="20"/>
      <c r="AA46" s="54"/>
      <c r="AB46" s="45"/>
      <c r="AC46" s="49"/>
      <c r="AD46" s="51"/>
      <c r="AE46" s="42"/>
      <c r="AF46" s="51"/>
    </row>
    <row r="47" spans="1:34" x14ac:dyDescent="0.25">
      <c r="A47" s="20" t="s">
        <v>198</v>
      </c>
      <c r="B47" s="35" t="s">
        <v>39</v>
      </c>
      <c r="C47" s="35" t="s">
        <v>199</v>
      </c>
      <c r="D47" s="20" t="s">
        <v>200</v>
      </c>
      <c r="E47" s="20" t="s">
        <v>201</v>
      </c>
      <c r="F47" s="20"/>
      <c r="G47" s="56" t="s">
        <v>216</v>
      </c>
      <c r="H47" s="20"/>
      <c r="I47" s="20"/>
      <c r="J47" s="20" t="s">
        <v>100</v>
      </c>
      <c r="K47" s="20"/>
      <c r="L47" s="20"/>
      <c r="M47" s="20"/>
      <c r="N47" s="20"/>
      <c r="O47" s="70" t="s">
        <v>45</v>
      </c>
      <c r="P47" s="70" t="s">
        <v>71</v>
      </c>
      <c r="Q47" s="28"/>
      <c r="R47" s="20"/>
      <c r="S47" s="20" t="s">
        <v>73</v>
      </c>
      <c r="T47" s="20" t="s">
        <v>217</v>
      </c>
      <c r="U47" s="20"/>
      <c r="V47" s="20"/>
      <c r="W47" s="20"/>
      <c r="X47" s="20"/>
      <c r="Y47" s="20"/>
      <c r="Z47" s="20"/>
      <c r="AA47" s="54"/>
      <c r="AB47" s="45"/>
      <c r="AC47" s="49"/>
      <c r="AD47" s="51"/>
      <c r="AE47" s="42"/>
      <c r="AF47" s="51"/>
    </row>
    <row r="48" spans="1:34" x14ac:dyDescent="0.25">
      <c r="A48" s="20" t="s">
        <v>198</v>
      </c>
      <c r="B48" s="35" t="s">
        <v>39</v>
      </c>
      <c r="C48" s="35" t="s">
        <v>199</v>
      </c>
      <c r="D48" s="20" t="s">
        <v>200</v>
      </c>
      <c r="E48" s="20" t="s">
        <v>201</v>
      </c>
      <c r="F48" s="20"/>
      <c r="G48" s="56" t="s">
        <v>218</v>
      </c>
      <c r="H48" s="20"/>
      <c r="I48" s="20"/>
      <c r="J48" s="20" t="s">
        <v>57</v>
      </c>
      <c r="K48" s="20"/>
      <c r="L48" s="20"/>
      <c r="M48" s="20"/>
      <c r="N48" s="20"/>
      <c r="O48" s="70" t="s">
        <v>45</v>
      </c>
      <c r="P48" s="70" t="s">
        <v>71</v>
      </c>
      <c r="Q48" s="28"/>
      <c r="R48" s="20"/>
      <c r="S48" s="20" t="s">
        <v>73</v>
      </c>
      <c r="T48" s="20" t="s">
        <v>217</v>
      </c>
      <c r="U48" s="20"/>
      <c r="V48" s="20"/>
      <c r="W48" s="20"/>
      <c r="X48" s="20"/>
      <c r="Y48" s="20"/>
      <c r="Z48" s="20"/>
      <c r="AA48" s="54"/>
      <c r="AB48" s="45"/>
      <c r="AC48" s="49"/>
      <c r="AD48" s="51"/>
      <c r="AE48" s="42"/>
      <c r="AF48" s="51"/>
    </row>
    <row r="49" spans="1:34" x14ac:dyDescent="0.25">
      <c r="A49" s="20" t="s">
        <v>198</v>
      </c>
      <c r="B49" s="35" t="s">
        <v>39</v>
      </c>
      <c r="C49" s="35" t="s">
        <v>199</v>
      </c>
      <c r="D49" s="20" t="s">
        <v>200</v>
      </c>
      <c r="E49" s="20" t="s">
        <v>201</v>
      </c>
      <c r="F49" s="20"/>
      <c r="G49" s="56" t="s">
        <v>219</v>
      </c>
      <c r="H49" s="20"/>
      <c r="I49" s="20"/>
      <c r="J49" s="20" t="s">
        <v>115</v>
      </c>
      <c r="K49" s="20"/>
      <c r="L49" s="20"/>
      <c r="M49" s="20"/>
      <c r="N49" s="20"/>
      <c r="O49" s="70" t="s">
        <v>45</v>
      </c>
      <c r="P49" s="70" t="s">
        <v>71</v>
      </c>
      <c r="Q49" s="28"/>
      <c r="R49" s="20"/>
      <c r="S49" s="20" t="s">
        <v>73</v>
      </c>
      <c r="T49" s="20" t="s">
        <v>217</v>
      </c>
      <c r="U49" s="20"/>
      <c r="V49" s="20"/>
      <c r="W49" s="20"/>
      <c r="X49" s="20"/>
      <c r="Y49" s="20"/>
      <c r="Z49" s="20"/>
      <c r="AA49" s="54"/>
      <c r="AB49" s="45"/>
      <c r="AC49" s="49"/>
      <c r="AD49" s="51"/>
      <c r="AE49" s="42"/>
      <c r="AF49" s="51"/>
    </row>
    <row r="50" spans="1:34" x14ac:dyDescent="0.25">
      <c r="A50" s="20" t="s">
        <v>198</v>
      </c>
      <c r="B50" s="35" t="s">
        <v>39</v>
      </c>
      <c r="C50" s="35" t="s">
        <v>199</v>
      </c>
      <c r="D50" s="20" t="s">
        <v>200</v>
      </c>
      <c r="E50" s="20" t="s">
        <v>201</v>
      </c>
      <c r="F50" s="20"/>
      <c r="G50" s="56" t="s">
        <v>220</v>
      </c>
      <c r="H50" s="20"/>
      <c r="I50" s="20"/>
      <c r="J50" s="20" t="s">
        <v>121</v>
      </c>
      <c r="K50" s="20"/>
      <c r="L50" s="20"/>
      <c r="M50" s="20"/>
      <c r="N50" s="20"/>
      <c r="O50" s="70" t="s">
        <v>45</v>
      </c>
      <c r="P50" s="70" t="s">
        <v>71</v>
      </c>
      <c r="Q50" s="28"/>
      <c r="R50" s="20"/>
      <c r="S50" s="20" t="s">
        <v>73</v>
      </c>
      <c r="T50" s="20" t="s">
        <v>217</v>
      </c>
      <c r="U50" s="20"/>
      <c r="V50" s="20"/>
      <c r="W50" s="20"/>
      <c r="X50" s="20"/>
      <c r="Y50" s="20"/>
      <c r="Z50" s="20"/>
      <c r="AA50" s="54"/>
      <c r="AB50" s="45"/>
      <c r="AC50" s="49"/>
      <c r="AD50" s="51"/>
      <c r="AE50" s="42"/>
      <c r="AF50" s="51"/>
    </row>
    <row r="51" spans="1:34" x14ac:dyDescent="0.25">
      <c r="A51" s="20" t="s">
        <v>198</v>
      </c>
      <c r="B51" s="35" t="s">
        <v>39</v>
      </c>
      <c r="C51" s="35" t="s">
        <v>199</v>
      </c>
      <c r="D51" s="20" t="s">
        <v>200</v>
      </c>
      <c r="E51" s="20" t="s">
        <v>201</v>
      </c>
      <c r="F51" s="20"/>
      <c r="G51" s="56" t="s">
        <v>221</v>
      </c>
      <c r="H51" s="20"/>
      <c r="I51" s="20"/>
      <c r="J51" s="20" t="s">
        <v>127</v>
      </c>
      <c r="K51" s="20"/>
      <c r="L51" s="20"/>
      <c r="M51" s="20"/>
      <c r="N51" s="20"/>
      <c r="O51" s="70" t="s">
        <v>45</v>
      </c>
      <c r="P51" s="70" t="s">
        <v>71</v>
      </c>
      <c r="Q51" s="28"/>
      <c r="R51" s="20"/>
      <c r="S51" s="20" t="s">
        <v>73</v>
      </c>
      <c r="T51" s="20" t="s">
        <v>217</v>
      </c>
      <c r="U51" s="20"/>
      <c r="V51" s="20"/>
      <c r="W51" s="20"/>
      <c r="X51" s="20"/>
      <c r="Y51" s="20"/>
      <c r="Z51" s="20"/>
      <c r="AA51" s="54"/>
      <c r="AB51" s="45"/>
      <c r="AC51" s="49"/>
      <c r="AD51" s="51"/>
      <c r="AE51" s="42"/>
      <c r="AF51" s="51"/>
    </row>
    <row r="52" spans="1:34" x14ac:dyDescent="0.25">
      <c r="A52" s="20" t="s">
        <v>198</v>
      </c>
      <c r="B52" s="35" t="s">
        <v>39</v>
      </c>
      <c r="C52" s="35" t="s">
        <v>199</v>
      </c>
      <c r="D52" s="20" t="s">
        <v>200</v>
      </c>
      <c r="E52" s="20" t="s">
        <v>201</v>
      </c>
      <c r="F52" s="20"/>
      <c r="G52" s="56" t="s">
        <v>222</v>
      </c>
      <c r="H52" s="20"/>
      <c r="I52" s="20"/>
      <c r="J52" s="20" t="s">
        <v>133</v>
      </c>
      <c r="K52" s="20"/>
      <c r="L52" s="20"/>
      <c r="M52" s="20"/>
      <c r="N52" s="20"/>
      <c r="O52" s="70" t="s">
        <v>45</v>
      </c>
      <c r="P52" s="70" t="s">
        <v>71</v>
      </c>
      <c r="Q52" s="20"/>
      <c r="R52" s="20"/>
      <c r="S52" s="20" t="s">
        <v>73</v>
      </c>
      <c r="T52" s="20" t="s">
        <v>217</v>
      </c>
      <c r="U52" s="20"/>
      <c r="V52" s="20"/>
      <c r="W52" s="20"/>
      <c r="X52" s="20"/>
      <c r="Y52" s="20"/>
      <c r="Z52" s="20"/>
      <c r="AA52" s="54"/>
      <c r="AB52" s="45"/>
      <c r="AC52" s="49"/>
      <c r="AD52" s="51"/>
      <c r="AE52" s="42"/>
      <c r="AF52" s="51"/>
    </row>
    <row r="53" spans="1:34" x14ac:dyDescent="0.25">
      <c r="A53" s="20" t="s">
        <v>198</v>
      </c>
      <c r="B53" s="35" t="s">
        <v>39</v>
      </c>
      <c r="C53" s="35" t="s">
        <v>199</v>
      </c>
      <c r="D53" s="20" t="s">
        <v>200</v>
      </c>
      <c r="E53" s="20" t="s">
        <v>201</v>
      </c>
      <c r="F53" s="20"/>
      <c r="G53" s="56" t="s">
        <v>223</v>
      </c>
      <c r="H53" s="20"/>
      <c r="I53" s="20"/>
      <c r="J53" s="20" t="s">
        <v>139</v>
      </c>
      <c r="K53" s="20"/>
      <c r="L53" s="20"/>
      <c r="M53" s="20"/>
      <c r="N53" s="20"/>
      <c r="O53" s="70" t="s">
        <v>45</v>
      </c>
      <c r="P53" s="70" t="s">
        <v>71</v>
      </c>
      <c r="Q53" s="20"/>
      <c r="R53" s="20"/>
      <c r="S53" s="20" t="s">
        <v>73</v>
      </c>
      <c r="T53" s="20" t="s">
        <v>217</v>
      </c>
      <c r="U53" s="20"/>
      <c r="V53" s="20"/>
      <c r="W53" s="20"/>
      <c r="X53" s="20"/>
      <c r="Y53" s="20"/>
      <c r="Z53" s="20"/>
      <c r="AA53" s="54"/>
      <c r="AB53" s="45"/>
      <c r="AC53" s="49"/>
      <c r="AD53" s="51"/>
      <c r="AE53" s="42"/>
      <c r="AF53" s="51"/>
    </row>
    <row r="54" spans="1:34" ht="14.45" customHeight="1" x14ac:dyDescent="0.25">
      <c r="A54" s="22" t="s">
        <v>198</v>
      </c>
      <c r="B54" s="36" t="s">
        <v>39</v>
      </c>
      <c r="C54" s="36" t="s">
        <v>199</v>
      </c>
      <c r="D54" s="22" t="s">
        <v>200</v>
      </c>
      <c r="E54" s="22" t="s">
        <v>201</v>
      </c>
      <c r="F54" s="22"/>
      <c r="G54" s="57" t="s">
        <v>224</v>
      </c>
      <c r="H54" s="22"/>
      <c r="I54" s="22"/>
      <c r="J54" s="22" t="s">
        <v>144</v>
      </c>
      <c r="K54" s="22"/>
      <c r="L54" s="22"/>
      <c r="M54" s="22"/>
      <c r="N54" s="22"/>
      <c r="O54" s="71" t="s">
        <v>45</v>
      </c>
      <c r="P54" s="71" t="s">
        <v>71</v>
      </c>
      <c r="Q54" s="22"/>
      <c r="R54" s="22"/>
      <c r="S54" s="22" t="s">
        <v>73</v>
      </c>
      <c r="T54" s="22" t="s">
        <v>217</v>
      </c>
      <c r="U54" s="22"/>
      <c r="V54" s="22"/>
      <c r="W54" s="22"/>
      <c r="X54" s="22"/>
      <c r="Y54" s="22"/>
      <c r="Z54" s="22"/>
      <c r="AA54" s="54"/>
      <c r="AB54" s="45"/>
      <c r="AC54" s="49"/>
      <c r="AD54" s="51"/>
      <c r="AE54" s="42"/>
      <c r="AF54" s="51"/>
    </row>
    <row r="55" spans="1:34" x14ac:dyDescent="0.25">
      <c r="A55" s="20" t="s">
        <v>225</v>
      </c>
      <c r="B55" s="35" t="s">
        <v>39</v>
      </c>
      <c r="C55" s="35" t="s">
        <v>226</v>
      </c>
      <c r="D55" s="20" t="s">
        <v>227</v>
      </c>
      <c r="E55" s="20" t="s">
        <v>228</v>
      </c>
      <c r="F55" s="20"/>
      <c r="G55" s="56" t="s">
        <v>229</v>
      </c>
      <c r="H55" s="20">
        <v>1</v>
      </c>
      <c r="I55" s="20"/>
      <c r="J55" s="19" t="s">
        <v>230</v>
      </c>
      <c r="K55" s="20" t="s">
        <v>231</v>
      </c>
      <c r="L55" s="20" t="s">
        <v>232</v>
      </c>
      <c r="M55" s="20"/>
      <c r="N55" s="20"/>
      <c r="O55" s="70" t="s">
        <v>45</v>
      </c>
      <c r="P55" s="70" t="s">
        <v>71</v>
      </c>
      <c r="Q55" s="28" t="s">
        <v>233</v>
      </c>
      <c r="R55" s="20" t="s">
        <v>104</v>
      </c>
      <c r="S55" s="20" t="s">
        <v>73</v>
      </c>
      <c r="T55" s="20" t="s">
        <v>234</v>
      </c>
      <c r="U55" s="20" t="s">
        <v>235</v>
      </c>
      <c r="V55" s="20"/>
      <c r="W55" s="20"/>
      <c r="X55" s="20"/>
      <c r="Y55" s="20"/>
      <c r="Z55" s="20"/>
      <c r="AA55" s="54"/>
      <c r="AB55" s="45" t="s">
        <v>236</v>
      </c>
      <c r="AC55" s="49" t="s">
        <v>236</v>
      </c>
      <c r="AD55" s="51" t="s">
        <v>237</v>
      </c>
      <c r="AE55" s="42" t="s">
        <v>238</v>
      </c>
      <c r="AF55" s="51" t="s">
        <v>119</v>
      </c>
    </row>
    <row r="56" spans="1:34" x14ac:dyDescent="0.25">
      <c r="A56" s="20" t="s">
        <v>225</v>
      </c>
      <c r="B56" s="35" t="s">
        <v>39</v>
      </c>
      <c r="C56" s="35" t="s">
        <v>226</v>
      </c>
      <c r="D56" s="20" t="s">
        <v>227</v>
      </c>
      <c r="E56" s="20" t="s">
        <v>228</v>
      </c>
      <c r="F56" s="20"/>
      <c r="G56" s="56" t="s">
        <v>239</v>
      </c>
      <c r="H56" s="20" t="s">
        <v>83</v>
      </c>
      <c r="I56" s="20"/>
      <c r="J56" s="19" t="s">
        <v>240</v>
      </c>
      <c r="K56" s="20" t="s">
        <v>241</v>
      </c>
      <c r="L56" s="20" t="s">
        <v>242</v>
      </c>
      <c r="M56" s="20"/>
      <c r="N56" s="20"/>
      <c r="O56" s="70" t="s">
        <v>45</v>
      </c>
      <c r="P56" s="70" t="s">
        <v>71</v>
      </c>
      <c r="Q56" s="28" t="s">
        <v>243</v>
      </c>
      <c r="R56" s="20" t="s">
        <v>104</v>
      </c>
      <c r="S56" s="20" t="s">
        <v>73</v>
      </c>
      <c r="T56" s="20" t="s">
        <v>234</v>
      </c>
      <c r="U56" s="20" t="s">
        <v>244</v>
      </c>
      <c r="V56" s="20"/>
      <c r="W56" s="20"/>
      <c r="X56" s="20"/>
      <c r="Y56" s="20"/>
      <c r="Z56" s="20"/>
      <c r="AA56" s="54"/>
      <c r="AB56" s="45" t="s">
        <v>245</v>
      </c>
      <c r="AC56" s="49" t="s">
        <v>245</v>
      </c>
      <c r="AD56" s="51" t="s">
        <v>62</v>
      </c>
      <c r="AE56" s="42" t="s">
        <v>246</v>
      </c>
      <c r="AF56" s="51" t="s">
        <v>113</v>
      </c>
    </row>
    <row r="57" spans="1:34" x14ac:dyDescent="0.25">
      <c r="A57" s="20" t="s">
        <v>225</v>
      </c>
      <c r="B57" s="35" t="s">
        <v>39</v>
      </c>
      <c r="C57" s="35" t="s">
        <v>226</v>
      </c>
      <c r="D57" s="20" t="s">
        <v>227</v>
      </c>
      <c r="E57" s="20" t="s">
        <v>228</v>
      </c>
      <c r="F57" s="20"/>
      <c r="G57" s="56" t="s">
        <v>247</v>
      </c>
      <c r="H57" s="20" t="s">
        <v>248</v>
      </c>
      <c r="I57" s="20"/>
      <c r="J57" s="19" t="s">
        <v>249</v>
      </c>
      <c r="K57" s="46" t="s">
        <v>250</v>
      </c>
      <c r="L57" s="20"/>
      <c r="M57" s="20"/>
      <c r="N57" s="20"/>
      <c r="O57" s="70" t="s">
        <v>45</v>
      </c>
      <c r="P57" s="70" t="s">
        <v>71</v>
      </c>
      <c r="Q57" s="28" t="s">
        <v>251</v>
      </c>
      <c r="R57" s="21"/>
      <c r="S57" s="20" t="s">
        <v>73</v>
      </c>
      <c r="T57" s="20" t="s">
        <v>234</v>
      </c>
      <c r="U57" s="20" t="s">
        <v>252</v>
      </c>
      <c r="V57" s="20"/>
      <c r="W57" s="20"/>
      <c r="X57" s="20"/>
      <c r="Y57" s="20"/>
      <c r="Z57" s="20"/>
      <c r="AA57" s="54"/>
      <c r="AB57" s="45" t="s">
        <v>253</v>
      </c>
      <c r="AC57" s="49" t="s">
        <v>253</v>
      </c>
      <c r="AD57" s="51" t="s">
        <v>237</v>
      </c>
      <c r="AE57" s="42"/>
      <c r="AF57" s="51"/>
    </row>
    <row r="58" spans="1:34" x14ac:dyDescent="0.25">
      <c r="A58" s="20" t="s">
        <v>225</v>
      </c>
      <c r="B58" s="35" t="s">
        <v>39</v>
      </c>
      <c r="C58" s="35" t="s">
        <v>226</v>
      </c>
      <c r="D58" s="20" t="s">
        <v>227</v>
      </c>
      <c r="E58" s="20" t="s">
        <v>228</v>
      </c>
      <c r="F58" s="20"/>
      <c r="G58" s="56" t="s">
        <v>254</v>
      </c>
      <c r="H58" s="20"/>
      <c r="I58" s="20"/>
      <c r="J58" s="19" t="s">
        <v>255</v>
      </c>
      <c r="K58" s="21" t="s">
        <v>256</v>
      </c>
      <c r="L58" s="21" t="s">
        <v>242</v>
      </c>
      <c r="M58" s="20"/>
      <c r="N58" s="20"/>
      <c r="O58" s="70" t="s">
        <v>45</v>
      </c>
      <c r="P58" s="70" t="s">
        <v>71</v>
      </c>
      <c r="Q58" s="67" t="s">
        <v>257</v>
      </c>
      <c r="R58" s="21"/>
      <c r="S58" s="20" t="s">
        <v>73</v>
      </c>
      <c r="T58" s="20" t="s">
        <v>234</v>
      </c>
      <c r="U58" s="21"/>
      <c r="V58" s="20"/>
      <c r="W58" s="20"/>
      <c r="X58" s="20"/>
      <c r="Y58" s="20"/>
      <c r="Z58" s="20"/>
      <c r="AA58" s="54"/>
      <c r="AB58" s="45" t="s">
        <v>258</v>
      </c>
      <c r="AC58" s="49" t="s">
        <v>258</v>
      </c>
      <c r="AD58" s="51" t="s">
        <v>62</v>
      </c>
      <c r="AE58" s="58" t="s">
        <v>259</v>
      </c>
      <c r="AF58" s="55" t="s">
        <v>113</v>
      </c>
      <c r="AH58" s="75"/>
    </row>
    <row r="59" spans="1:34" x14ac:dyDescent="0.25">
      <c r="A59" s="20" t="s">
        <v>225</v>
      </c>
      <c r="B59" s="35" t="s">
        <v>39</v>
      </c>
      <c r="C59" s="35" t="s">
        <v>226</v>
      </c>
      <c r="D59" s="20" t="s">
        <v>227</v>
      </c>
      <c r="E59" s="20" t="s">
        <v>228</v>
      </c>
      <c r="F59" s="20"/>
      <c r="G59" s="56" t="s">
        <v>260</v>
      </c>
      <c r="H59" s="20" t="s">
        <v>83</v>
      </c>
      <c r="I59" s="20"/>
      <c r="J59" s="19" t="s">
        <v>261</v>
      </c>
      <c r="K59" s="20" t="s">
        <v>231</v>
      </c>
      <c r="L59" s="20" t="s">
        <v>262</v>
      </c>
      <c r="M59" s="20"/>
      <c r="N59" s="20"/>
      <c r="O59" s="70" t="s">
        <v>45</v>
      </c>
      <c r="P59" s="70" t="s">
        <v>71</v>
      </c>
      <c r="Q59" s="28" t="s">
        <v>233</v>
      </c>
      <c r="R59" s="20" t="s">
        <v>104</v>
      </c>
      <c r="S59" s="20" t="s">
        <v>73</v>
      </c>
      <c r="T59" s="20" t="s">
        <v>234</v>
      </c>
      <c r="U59" s="20" t="s">
        <v>235</v>
      </c>
      <c r="V59" s="20"/>
      <c r="W59" s="20"/>
      <c r="X59" s="20"/>
      <c r="Y59" s="20"/>
      <c r="Z59" s="20"/>
      <c r="AA59" s="54"/>
      <c r="AB59" s="45" t="s">
        <v>263</v>
      </c>
      <c r="AC59" s="49" t="s">
        <v>263</v>
      </c>
      <c r="AD59" s="51" t="s">
        <v>237</v>
      </c>
      <c r="AE59" s="42"/>
      <c r="AF59" s="51"/>
    </row>
    <row r="60" spans="1:34" x14ac:dyDescent="0.25">
      <c r="A60" s="20" t="s">
        <v>225</v>
      </c>
      <c r="B60" s="35" t="s">
        <v>39</v>
      </c>
      <c r="C60" s="35" t="s">
        <v>226</v>
      </c>
      <c r="D60" s="20" t="s">
        <v>227</v>
      </c>
      <c r="E60" s="20" t="s">
        <v>228</v>
      </c>
      <c r="F60" s="20"/>
      <c r="G60" s="56" t="s">
        <v>264</v>
      </c>
      <c r="H60" s="20" t="s">
        <v>83</v>
      </c>
      <c r="I60" s="20"/>
      <c r="J60" s="19" t="s">
        <v>265</v>
      </c>
      <c r="K60" s="20" t="s">
        <v>241</v>
      </c>
      <c r="L60" s="20" t="s">
        <v>266</v>
      </c>
      <c r="M60" s="20"/>
      <c r="N60" s="20"/>
      <c r="O60" s="70" t="s">
        <v>45</v>
      </c>
      <c r="P60" s="70" t="s">
        <v>71</v>
      </c>
      <c r="Q60" s="28" t="s">
        <v>243</v>
      </c>
      <c r="R60" s="20" t="s">
        <v>104</v>
      </c>
      <c r="S60" s="20" t="s">
        <v>73</v>
      </c>
      <c r="T60" s="20" t="s">
        <v>234</v>
      </c>
      <c r="U60" s="20" t="s">
        <v>244</v>
      </c>
      <c r="V60" s="20"/>
      <c r="W60" s="20"/>
      <c r="X60" s="20"/>
      <c r="Y60" s="20"/>
      <c r="Z60" s="20"/>
      <c r="AA60" s="54"/>
      <c r="AB60" s="45" t="s">
        <v>267</v>
      </c>
      <c r="AC60" s="49" t="s">
        <v>267</v>
      </c>
      <c r="AD60" s="55" t="s">
        <v>62</v>
      </c>
      <c r="AE60" s="42"/>
      <c r="AF60" s="51"/>
      <c r="AH60" s="75"/>
    </row>
    <row r="61" spans="1:34" x14ac:dyDescent="0.25">
      <c r="A61" s="20" t="s">
        <v>225</v>
      </c>
      <c r="B61" s="35" t="s">
        <v>39</v>
      </c>
      <c r="C61" s="35" t="s">
        <v>226</v>
      </c>
      <c r="D61" s="20" t="s">
        <v>227</v>
      </c>
      <c r="E61" s="20" t="s">
        <v>228</v>
      </c>
      <c r="F61" s="20"/>
      <c r="G61" s="56" t="s">
        <v>268</v>
      </c>
      <c r="H61" s="20"/>
      <c r="I61" s="20"/>
      <c r="J61" s="19" t="s">
        <v>269</v>
      </c>
      <c r="K61" s="46" t="s">
        <v>250</v>
      </c>
      <c r="L61" s="20" t="s">
        <v>270</v>
      </c>
      <c r="M61" s="20"/>
      <c r="N61" s="20"/>
      <c r="O61" s="70" t="s">
        <v>45</v>
      </c>
      <c r="P61" s="70" t="s">
        <v>71</v>
      </c>
      <c r="Q61" s="28" t="s">
        <v>271</v>
      </c>
      <c r="R61" s="21"/>
      <c r="S61" s="20" t="s">
        <v>73</v>
      </c>
      <c r="T61" s="20" t="s">
        <v>234</v>
      </c>
      <c r="U61" s="20" t="s">
        <v>252</v>
      </c>
      <c r="V61" s="20"/>
      <c r="W61" s="20"/>
      <c r="X61" s="20"/>
      <c r="Y61" s="20"/>
      <c r="Z61" s="20"/>
      <c r="AA61" s="54"/>
      <c r="AB61" s="45" t="s">
        <v>272</v>
      </c>
      <c r="AC61" s="49" t="s">
        <v>272</v>
      </c>
      <c r="AD61" s="51" t="s">
        <v>273</v>
      </c>
      <c r="AE61" s="42"/>
      <c r="AF61" s="51"/>
    </row>
    <row r="62" spans="1:34" x14ac:dyDescent="0.25">
      <c r="A62" s="22" t="s">
        <v>225</v>
      </c>
      <c r="B62" s="36" t="s">
        <v>39</v>
      </c>
      <c r="C62" s="36" t="s">
        <v>226</v>
      </c>
      <c r="D62" s="22" t="s">
        <v>227</v>
      </c>
      <c r="E62" s="22" t="s">
        <v>228</v>
      </c>
      <c r="F62" s="22"/>
      <c r="G62" s="57" t="s">
        <v>274</v>
      </c>
      <c r="H62" s="22"/>
      <c r="I62" s="22"/>
      <c r="J62" s="31" t="s">
        <v>275</v>
      </c>
      <c r="K62" s="21" t="s">
        <v>256</v>
      </c>
      <c r="L62" s="21" t="s">
        <v>266</v>
      </c>
      <c r="M62" s="22"/>
      <c r="N62" s="22"/>
      <c r="O62" s="71" t="s">
        <v>45</v>
      </c>
      <c r="P62" s="71" t="s">
        <v>71</v>
      </c>
      <c r="Q62" s="67" t="s">
        <v>257</v>
      </c>
      <c r="R62" s="22"/>
      <c r="S62" s="22" t="s">
        <v>73</v>
      </c>
      <c r="T62" s="22" t="s">
        <v>234</v>
      </c>
      <c r="U62" s="22"/>
      <c r="V62" s="22"/>
      <c r="W62" s="22"/>
      <c r="X62" s="22"/>
      <c r="Y62" s="22"/>
      <c r="Z62" s="22"/>
      <c r="AA62" s="54"/>
      <c r="AB62" s="45" t="s">
        <v>276</v>
      </c>
      <c r="AC62" s="49" t="s">
        <v>276</v>
      </c>
      <c r="AD62" s="51" t="s">
        <v>62</v>
      </c>
      <c r="AE62" s="42"/>
      <c r="AF62" s="51"/>
    </row>
    <row r="63" spans="1:34" x14ac:dyDescent="0.25">
      <c r="A63" s="18" t="s">
        <v>65</v>
      </c>
      <c r="B63" s="32" t="s">
        <v>39</v>
      </c>
      <c r="C63" s="18" t="s">
        <v>66</v>
      </c>
      <c r="D63" s="32" t="s">
        <v>67</v>
      </c>
      <c r="E63" s="32" t="s">
        <v>68</v>
      </c>
      <c r="F63" s="32" t="s">
        <v>121</v>
      </c>
      <c r="G63" s="32"/>
      <c r="H63" s="32"/>
      <c r="I63" s="18" t="s">
        <v>42</v>
      </c>
      <c r="J63" s="32"/>
      <c r="K63" s="32" t="s">
        <v>70</v>
      </c>
      <c r="L63" s="32"/>
      <c r="M63" s="32"/>
      <c r="N63" s="32"/>
      <c r="O63" s="69" t="s">
        <v>45</v>
      </c>
      <c r="P63" s="69" t="s">
        <v>277</v>
      </c>
      <c r="Q63" s="33" t="s">
        <v>68</v>
      </c>
      <c r="R63" s="32" t="s">
        <v>72</v>
      </c>
      <c r="S63" s="32" t="s">
        <v>278</v>
      </c>
      <c r="T63" s="32">
        <v>650</v>
      </c>
      <c r="U63" s="32" t="s">
        <v>48</v>
      </c>
      <c r="V63" s="18" t="str">
        <f>$V$2&amp;$F$2&amp;"."&amp;F63</f>
        <v>192.168.51.12</v>
      </c>
      <c r="W63" s="32" t="str">
        <f>LOWER("N"&amp;TEXT(F63,"0000")&amp;"-"&amp;SUBSTITUTE(MID(P63,2,20)&amp;Q63,".","-"))</f>
        <v>n0012-pc2-cc1-k65001</v>
      </c>
      <c r="X63" s="32"/>
      <c r="Y63" s="32"/>
      <c r="Z63" s="32"/>
      <c r="AA63" s="54"/>
      <c r="AB63" s="45" t="s">
        <v>72</v>
      </c>
      <c r="AC63" s="49" t="s">
        <v>72</v>
      </c>
      <c r="AD63" s="55" t="s">
        <v>153</v>
      </c>
      <c r="AE63" s="42" t="s">
        <v>279</v>
      </c>
      <c r="AF63" s="55" t="s">
        <v>77</v>
      </c>
    </row>
    <row r="64" spans="1:34" x14ac:dyDescent="0.25">
      <c r="A64" s="35" t="s">
        <v>78</v>
      </c>
      <c r="B64" s="35" t="s">
        <v>39</v>
      </c>
      <c r="C64" s="35" t="s">
        <v>79</v>
      </c>
      <c r="D64" s="20" t="s">
        <v>80</v>
      </c>
      <c r="E64" s="20" t="s">
        <v>81</v>
      </c>
      <c r="F64" s="20"/>
      <c r="G64" s="56" t="s">
        <v>280</v>
      </c>
      <c r="H64" s="20"/>
      <c r="I64" s="20"/>
      <c r="J64" s="20" t="s">
        <v>83</v>
      </c>
      <c r="K64" s="20" t="s">
        <v>281</v>
      </c>
      <c r="L64" s="20"/>
      <c r="M64" s="20"/>
      <c r="N64" s="20"/>
      <c r="O64" s="70" t="s">
        <v>45</v>
      </c>
      <c r="P64" s="70" t="s">
        <v>277</v>
      </c>
      <c r="Q64" s="28" t="s">
        <v>282</v>
      </c>
      <c r="R64" s="20" t="s">
        <v>104</v>
      </c>
      <c r="S64" s="20" t="s">
        <v>278</v>
      </c>
      <c r="T64" s="20">
        <v>653</v>
      </c>
      <c r="U64" s="20" t="s">
        <v>283</v>
      </c>
      <c r="V64" s="20"/>
      <c r="W64" s="20"/>
      <c r="X64" s="20"/>
      <c r="Y64" s="20"/>
      <c r="Z64" s="20"/>
      <c r="AA64" s="54"/>
      <c r="AB64" s="45" t="s">
        <v>284</v>
      </c>
      <c r="AC64" s="49" t="s">
        <v>285</v>
      </c>
      <c r="AD64" s="51" t="s">
        <v>153</v>
      </c>
      <c r="AE64" s="42"/>
      <c r="AF64" s="51"/>
      <c r="AG64" t="s">
        <v>85</v>
      </c>
    </row>
    <row r="65" spans="1:34" x14ac:dyDescent="0.25">
      <c r="A65" s="35" t="s">
        <v>78</v>
      </c>
      <c r="B65" s="35" t="s">
        <v>39</v>
      </c>
      <c r="C65" s="35" t="s">
        <v>79</v>
      </c>
      <c r="D65" s="20" t="s">
        <v>80</v>
      </c>
      <c r="E65" s="20" t="s">
        <v>81</v>
      </c>
      <c r="F65" s="20"/>
      <c r="G65" s="56" t="s">
        <v>286</v>
      </c>
      <c r="H65" s="20"/>
      <c r="I65" s="20"/>
      <c r="J65" s="20" t="s">
        <v>87</v>
      </c>
      <c r="K65" s="20" t="s">
        <v>281</v>
      </c>
      <c r="L65" s="20"/>
      <c r="M65" s="20"/>
      <c r="N65" s="20"/>
      <c r="O65" s="70" t="s">
        <v>45</v>
      </c>
      <c r="P65" s="70" t="s">
        <v>277</v>
      </c>
      <c r="Q65" s="28" t="s">
        <v>287</v>
      </c>
      <c r="R65" s="20" t="s">
        <v>104</v>
      </c>
      <c r="S65" s="20" t="s">
        <v>278</v>
      </c>
      <c r="T65" s="20">
        <v>653</v>
      </c>
      <c r="U65" s="20" t="s">
        <v>283</v>
      </c>
      <c r="V65" s="20"/>
      <c r="W65" s="20"/>
      <c r="X65" s="20"/>
      <c r="Y65" s="20"/>
      <c r="Z65" s="20"/>
      <c r="AA65" s="54"/>
      <c r="AB65" s="45" t="s">
        <v>288</v>
      </c>
      <c r="AC65" s="49" t="s">
        <v>285</v>
      </c>
      <c r="AD65" s="51" t="s">
        <v>153</v>
      </c>
      <c r="AE65" s="42"/>
      <c r="AF65" s="51"/>
    </row>
    <row r="66" spans="1:34" x14ac:dyDescent="0.25">
      <c r="A66" s="35" t="s">
        <v>78</v>
      </c>
      <c r="B66" s="35" t="s">
        <v>39</v>
      </c>
      <c r="C66" s="35" t="s">
        <v>79</v>
      </c>
      <c r="D66" s="20" t="s">
        <v>80</v>
      </c>
      <c r="E66" s="20" t="s">
        <v>81</v>
      </c>
      <c r="F66" s="20"/>
      <c r="G66" s="56" t="s">
        <v>289</v>
      </c>
      <c r="H66" s="20"/>
      <c r="I66" s="20"/>
      <c r="J66" s="20" t="s">
        <v>89</v>
      </c>
      <c r="K66" s="20" t="s">
        <v>281</v>
      </c>
      <c r="L66" s="20"/>
      <c r="M66" s="20"/>
      <c r="N66" s="20"/>
      <c r="O66" s="70" t="s">
        <v>45</v>
      </c>
      <c r="P66" s="70" t="s">
        <v>277</v>
      </c>
      <c r="Q66" s="28" t="s">
        <v>290</v>
      </c>
      <c r="R66" s="20" t="s">
        <v>104</v>
      </c>
      <c r="S66" s="20" t="s">
        <v>278</v>
      </c>
      <c r="T66" s="20">
        <v>653</v>
      </c>
      <c r="U66" s="20" t="s">
        <v>283</v>
      </c>
      <c r="V66" s="20"/>
      <c r="W66" s="20"/>
      <c r="X66" s="20"/>
      <c r="Y66" s="20"/>
      <c r="Z66" s="20"/>
      <c r="AA66" s="54"/>
      <c r="AB66" s="45" t="s">
        <v>291</v>
      </c>
      <c r="AC66" s="49" t="s">
        <v>285</v>
      </c>
      <c r="AD66" s="21" t="s">
        <v>153</v>
      </c>
      <c r="AE66" s="42"/>
      <c r="AF66" s="51"/>
    </row>
    <row r="67" spans="1:34" x14ac:dyDescent="0.25">
      <c r="A67" s="35" t="s">
        <v>78</v>
      </c>
      <c r="B67" s="35" t="s">
        <v>39</v>
      </c>
      <c r="C67" s="35" t="s">
        <v>79</v>
      </c>
      <c r="D67" s="20" t="s">
        <v>80</v>
      </c>
      <c r="E67" s="20" t="s">
        <v>81</v>
      </c>
      <c r="F67" s="20"/>
      <c r="G67" s="56" t="s">
        <v>292</v>
      </c>
      <c r="H67" s="20"/>
      <c r="I67" s="20"/>
      <c r="J67" s="20" t="s">
        <v>91</v>
      </c>
      <c r="K67" s="20" t="s">
        <v>281</v>
      </c>
      <c r="L67" s="20"/>
      <c r="M67" s="20"/>
      <c r="N67" s="20"/>
      <c r="O67" s="70" t="s">
        <v>45</v>
      </c>
      <c r="P67" s="70" t="s">
        <v>277</v>
      </c>
      <c r="Q67" s="28" t="s">
        <v>293</v>
      </c>
      <c r="R67" s="20" t="s">
        <v>104</v>
      </c>
      <c r="S67" s="20" t="s">
        <v>278</v>
      </c>
      <c r="T67" s="20">
        <v>653</v>
      </c>
      <c r="U67" s="20" t="s">
        <v>283</v>
      </c>
      <c r="V67" s="20"/>
      <c r="W67" s="20"/>
      <c r="X67" s="20"/>
      <c r="Y67" s="20"/>
      <c r="Z67" s="20"/>
      <c r="AA67" s="54"/>
      <c r="AB67" s="45" t="s">
        <v>294</v>
      </c>
      <c r="AC67" s="49" t="s">
        <v>285</v>
      </c>
      <c r="AD67" s="21" t="s">
        <v>153</v>
      </c>
      <c r="AE67" s="42"/>
      <c r="AF67" s="51"/>
    </row>
    <row r="68" spans="1:34" x14ac:dyDescent="0.25">
      <c r="A68" s="35" t="s">
        <v>78</v>
      </c>
      <c r="B68" s="35" t="s">
        <v>39</v>
      </c>
      <c r="C68" s="35" t="s">
        <v>79</v>
      </c>
      <c r="D68" s="20" t="s">
        <v>80</v>
      </c>
      <c r="E68" s="20" t="s">
        <v>81</v>
      </c>
      <c r="F68" s="20"/>
      <c r="G68" s="56" t="s">
        <v>295</v>
      </c>
      <c r="H68" s="20"/>
      <c r="I68" s="20"/>
      <c r="J68" s="20" t="s">
        <v>69</v>
      </c>
      <c r="K68" s="20"/>
      <c r="L68" s="20"/>
      <c r="M68" s="20"/>
      <c r="N68" s="20"/>
      <c r="O68" s="70" t="s">
        <v>45</v>
      </c>
      <c r="P68" s="70" t="s">
        <v>277</v>
      </c>
      <c r="Q68" s="28"/>
      <c r="R68" s="20"/>
      <c r="S68" s="20" t="s">
        <v>278</v>
      </c>
      <c r="T68" s="20">
        <v>653</v>
      </c>
      <c r="U68" s="20"/>
      <c r="V68" s="20"/>
      <c r="W68" s="20"/>
      <c r="X68" s="20"/>
      <c r="Y68" s="20"/>
      <c r="Z68" s="20"/>
      <c r="AA68" s="54"/>
      <c r="AB68" s="45"/>
      <c r="AC68" s="49"/>
      <c r="AD68" s="21"/>
      <c r="AE68" s="42"/>
      <c r="AF68" s="51"/>
    </row>
    <row r="69" spans="1:34" x14ac:dyDescent="0.25">
      <c r="A69" s="35" t="s">
        <v>78</v>
      </c>
      <c r="B69" s="35" t="s">
        <v>39</v>
      </c>
      <c r="C69" s="35" t="s">
        <v>79</v>
      </c>
      <c r="D69" s="20" t="s">
        <v>80</v>
      </c>
      <c r="E69" s="20" t="s">
        <v>81</v>
      </c>
      <c r="F69" s="20"/>
      <c r="G69" s="56" t="s">
        <v>296</v>
      </c>
      <c r="H69" s="20"/>
      <c r="I69" s="20"/>
      <c r="J69" s="20" t="s">
        <v>94</v>
      </c>
      <c r="K69" s="20"/>
      <c r="L69" s="20"/>
      <c r="M69" s="20"/>
      <c r="N69" s="20"/>
      <c r="O69" s="70" t="s">
        <v>45</v>
      </c>
      <c r="P69" s="70" t="s">
        <v>277</v>
      </c>
      <c r="Q69" s="28"/>
      <c r="R69" s="20"/>
      <c r="S69" s="20" t="s">
        <v>278</v>
      </c>
      <c r="T69" s="20">
        <v>653</v>
      </c>
      <c r="U69" s="20"/>
      <c r="V69" s="20"/>
      <c r="W69" s="20"/>
      <c r="X69" s="20"/>
      <c r="Y69" s="20"/>
      <c r="Z69" s="20"/>
      <c r="AA69" s="54"/>
      <c r="AB69" s="45"/>
      <c r="AC69" s="49"/>
      <c r="AD69" s="21"/>
      <c r="AE69" s="42"/>
      <c r="AF69" s="51"/>
    </row>
    <row r="70" spans="1:34" x14ac:dyDescent="0.25">
      <c r="A70" s="35" t="s">
        <v>78</v>
      </c>
      <c r="B70" s="35" t="s">
        <v>39</v>
      </c>
      <c r="C70" s="35" t="s">
        <v>79</v>
      </c>
      <c r="D70" s="20" t="s">
        <v>80</v>
      </c>
      <c r="E70" s="20" t="s">
        <v>81</v>
      </c>
      <c r="F70" s="20"/>
      <c r="G70" s="56" t="s">
        <v>297</v>
      </c>
      <c r="H70" s="20"/>
      <c r="I70" s="20"/>
      <c r="J70" s="20" t="s">
        <v>96</v>
      </c>
      <c r="K70" s="20"/>
      <c r="L70" s="20"/>
      <c r="M70" s="20"/>
      <c r="N70" s="20"/>
      <c r="O70" s="70" t="s">
        <v>45</v>
      </c>
      <c r="P70" s="70" t="s">
        <v>277</v>
      </c>
      <c r="Q70" s="28"/>
      <c r="R70" s="20"/>
      <c r="S70" s="20" t="s">
        <v>278</v>
      </c>
      <c r="T70" s="20">
        <v>653</v>
      </c>
      <c r="U70" s="20"/>
      <c r="V70" s="20"/>
      <c r="W70" s="20"/>
      <c r="X70" s="20"/>
      <c r="Y70" s="20"/>
      <c r="Z70" s="20"/>
      <c r="AA70" s="54"/>
      <c r="AB70" s="45"/>
      <c r="AC70" s="49"/>
      <c r="AD70" s="51"/>
      <c r="AE70" s="42"/>
      <c r="AF70" s="51"/>
    </row>
    <row r="71" spans="1:34" x14ac:dyDescent="0.25">
      <c r="A71" s="35" t="s">
        <v>78</v>
      </c>
      <c r="B71" s="35" t="s">
        <v>39</v>
      </c>
      <c r="C71" s="35" t="s">
        <v>79</v>
      </c>
      <c r="D71" s="20" t="s">
        <v>80</v>
      </c>
      <c r="E71" s="20" t="s">
        <v>81</v>
      </c>
      <c r="F71" s="20"/>
      <c r="G71" s="56" t="s">
        <v>298</v>
      </c>
      <c r="H71" s="20"/>
      <c r="I71" s="20"/>
      <c r="J71" s="20" t="s">
        <v>98</v>
      </c>
      <c r="K71" s="20"/>
      <c r="L71" s="20"/>
      <c r="M71" s="20"/>
      <c r="N71" s="20"/>
      <c r="O71" s="70" t="s">
        <v>45</v>
      </c>
      <c r="P71" s="70" t="s">
        <v>277</v>
      </c>
      <c r="Q71" s="28"/>
      <c r="R71" s="20"/>
      <c r="S71" s="20" t="s">
        <v>278</v>
      </c>
      <c r="T71" s="20">
        <v>653</v>
      </c>
      <c r="U71" s="20"/>
      <c r="V71" s="20"/>
      <c r="W71" s="20"/>
      <c r="X71" s="20"/>
      <c r="Y71" s="20"/>
      <c r="Z71" s="20"/>
      <c r="AA71" s="54"/>
      <c r="AB71" s="45"/>
      <c r="AC71" s="49"/>
      <c r="AD71" s="51"/>
      <c r="AE71" s="42"/>
      <c r="AF71" s="51"/>
    </row>
    <row r="72" spans="1:34" x14ac:dyDescent="0.25">
      <c r="A72" s="35" t="s">
        <v>78</v>
      </c>
      <c r="B72" s="35" t="s">
        <v>39</v>
      </c>
      <c r="C72" s="35" t="s">
        <v>79</v>
      </c>
      <c r="D72" s="20" t="s">
        <v>80</v>
      </c>
      <c r="E72" s="20" t="s">
        <v>81</v>
      </c>
      <c r="F72" s="20"/>
      <c r="G72" s="56" t="s">
        <v>299</v>
      </c>
      <c r="H72" s="20" t="s">
        <v>83</v>
      </c>
      <c r="I72" s="20"/>
      <c r="J72" s="20" t="s">
        <v>100</v>
      </c>
      <c r="K72" s="20" t="s">
        <v>281</v>
      </c>
      <c r="L72" s="20" t="s">
        <v>300</v>
      </c>
      <c r="M72" s="20"/>
      <c r="N72" s="20"/>
      <c r="O72" s="70" t="s">
        <v>45</v>
      </c>
      <c r="P72" s="70" t="s">
        <v>277</v>
      </c>
      <c r="Q72" s="28" t="s">
        <v>301</v>
      </c>
      <c r="R72" s="20" t="s">
        <v>104</v>
      </c>
      <c r="S72" s="20" t="s">
        <v>278</v>
      </c>
      <c r="T72" s="20">
        <v>654</v>
      </c>
      <c r="U72" s="20" t="s">
        <v>283</v>
      </c>
      <c r="V72" s="20"/>
      <c r="W72" s="20"/>
      <c r="X72" s="20"/>
      <c r="Y72" s="20"/>
      <c r="Z72" s="20"/>
      <c r="AA72" s="54"/>
      <c r="AB72" s="45" t="s">
        <v>285</v>
      </c>
      <c r="AC72" s="49" t="s">
        <v>285</v>
      </c>
      <c r="AD72" s="51" t="s">
        <v>273</v>
      </c>
      <c r="AE72" s="19"/>
      <c r="AF72" s="19"/>
    </row>
    <row r="73" spans="1:34" x14ac:dyDescent="0.25">
      <c r="A73" s="35" t="s">
        <v>78</v>
      </c>
      <c r="B73" s="35" t="s">
        <v>39</v>
      </c>
      <c r="C73" s="35" t="s">
        <v>79</v>
      </c>
      <c r="D73" s="20" t="s">
        <v>80</v>
      </c>
      <c r="E73" s="20" t="s">
        <v>81</v>
      </c>
      <c r="F73" s="20"/>
      <c r="G73" s="56" t="s">
        <v>302</v>
      </c>
      <c r="H73" s="20" t="s">
        <v>83</v>
      </c>
      <c r="I73" s="20"/>
      <c r="J73" s="20" t="s">
        <v>57</v>
      </c>
      <c r="K73" s="20" t="s">
        <v>281</v>
      </c>
      <c r="L73" s="20" t="s">
        <v>303</v>
      </c>
      <c r="M73" s="20"/>
      <c r="N73" s="20"/>
      <c r="O73" s="70" t="s">
        <v>45</v>
      </c>
      <c r="P73" s="70" t="s">
        <v>277</v>
      </c>
      <c r="Q73" s="28" t="s">
        <v>304</v>
      </c>
      <c r="R73" s="20" t="s">
        <v>104</v>
      </c>
      <c r="S73" s="20" t="s">
        <v>278</v>
      </c>
      <c r="T73" s="20" t="s">
        <v>305</v>
      </c>
      <c r="U73" s="20" t="s">
        <v>283</v>
      </c>
      <c r="V73" s="20"/>
      <c r="W73" s="20"/>
      <c r="X73" s="20"/>
      <c r="Y73" s="20"/>
      <c r="Z73" s="20"/>
      <c r="AA73" s="54"/>
      <c r="AB73" s="45" t="s">
        <v>285</v>
      </c>
      <c r="AC73" s="49" t="s">
        <v>285</v>
      </c>
      <c r="AD73" s="51" t="s">
        <v>75</v>
      </c>
      <c r="AE73" s="19"/>
      <c r="AF73" s="19"/>
    </row>
    <row r="74" spans="1:34" x14ac:dyDescent="0.25">
      <c r="A74" s="35" t="s">
        <v>78</v>
      </c>
      <c r="B74" s="35" t="s">
        <v>39</v>
      </c>
      <c r="C74" s="35" t="s">
        <v>79</v>
      </c>
      <c r="D74" s="20" t="s">
        <v>80</v>
      </c>
      <c r="E74" s="20" t="s">
        <v>81</v>
      </c>
      <c r="F74" s="20"/>
      <c r="G74" s="56" t="s">
        <v>306</v>
      </c>
      <c r="H74" s="20"/>
      <c r="I74" s="20"/>
      <c r="J74" s="20" t="s">
        <v>115</v>
      </c>
      <c r="K74" s="20"/>
      <c r="L74" s="20"/>
      <c r="M74" s="20"/>
      <c r="N74" s="20"/>
      <c r="O74" s="70" t="s">
        <v>45</v>
      </c>
      <c r="P74" s="70" t="s">
        <v>277</v>
      </c>
      <c r="Q74" s="28"/>
      <c r="R74" s="20"/>
      <c r="S74" s="20" t="s">
        <v>278</v>
      </c>
      <c r="T74" s="20">
        <v>654</v>
      </c>
      <c r="U74" s="20"/>
      <c r="V74" s="20"/>
      <c r="W74" s="20"/>
      <c r="X74" s="20"/>
      <c r="Y74" s="20"/>
      <c r="Z74" s="20"/>
      <c r="AA74" s="54"/>
      <c r="AB74" s="45"/>
      <c r="AC74" s="49"/>
      <c r="AD74" s="51"/>
      <c r="AE74" s="42"/>
      <c r="AF74" s="51"/>
    </row>
    <row r="75" spans="1:34" x14ac:dyDescent="0.25">
      <c r="A75" s="35" t="s">
        <v>78</v>
      </c>
      <c r="B75" s="35" t="s">
        <v>39</v>
      </c>
      <c r="C75" s="35" t="s">
        <v>79</v>
      </c>
      <c r="D75" s="20" t="s">
        <v>80</v>
      </c>
      <c r="E75" s="20" t="s">
        <v>81</v>
      </c>
      <c r="F75" s="20"/>
      <c r="G75" s="56" t="s">
        <v>307</v>
      </c>
      <c r="H75" s="20"/>
      <c r="I75" s="20"/>
      <c r="J75" s="20" t="s">
        <v>121</v>
      </c>
      <c r="K75" s="20"/>
      <c r="L75" s="20"/>
      <c r="M75" s="20"/>
      <c r="N75" s="20"/>
      <c r="O75" s="70" t="s">
        <v>45</v>
      </c>
      <c r="P75" s="70" t="s">
        <v>277</v>
      </c>
      <c r="Q75" s="28"/>
      <c r="R75" s="20"/>
      <c r="S75" s="20" t="s">
        <v>278</v>
      </c>
      <c r="T75" s="20">
        <v>654</v>
      </c>
      <c r="U75" s="20"/>
      <c r="V75" s="20"/>
      <c r="W75" s="20"/>
      <c r="X75" s="20"/>
      <c r="Y75" s="20"/>
      <c r="Z75" s="20"/>
      <c r="AA75" s="54"/>
      <c r="AB75" s="45"/>
      <c r="AC75" s="49"/>
      <c r="AD75" s="51"/>
      <c r="AE75" s="42"/>
      <c r="AF75" s="51"/>
    </row>
    <row r="76" spans="1:34" x14ac:dyDescent="0.25">
      <c r="A76" s="35" t="s">
        <v>78</v>
      </c>
      <c r="B76" s="35" t="s">
        <v>39</v>
      </c>
      <c r="C76" s="35" t="s">
        <v>79</v>
      </c>
      <c r="D76" s="20" t="s">
        <v>80</v>
      </c>
      <c r="E76" s="20" t="s">
        <v>81</v>
      </c>
      <c r="F76" s="20"/>
      <c r="G76" s="56" t="s">
        <v>308</v>
      </c>
      <c r="H76" s="20"/>
      <c r="I76" s="20"/>
      <c r="J76" s="20" t="s">
        <v>127</v>
      </c>
      <c r="K76" s="20"/>
      <c r="L76" s="20"/>
      <c r="M76" s="20"/>
      <c r="N76" s="20"/>
      <c r="O76" s="70" t="s">
        <v>45</v>
      </c>
      <c r="P76" s="70" t="s">
        <v>277</v>
      </c>
      <c r="Q76" s="28"/>
      <c r="R76" s="20"/>
      <c r="S76" s="20" t="s">
        <v>278</v>
      </c>
      <c r="T76" s="20">
        <v>654</v>
      </c>
      <c r="U76" s="20"/>
      <c r="V76" s="20"/>
      <c r="W76" s="20"/>
      <c r="X76" s="20"/>
      <c r="Y76" s="20"/>
      <c r="Z76" s="20"/>
      <c r="AA76" s="54"/>
      <c r="AB76" s="45"/>
      <c r="AC76" s="49"/>
      <c r="AD76" s="51"/>
      <c r="AE76" s="42"/>
      <c r="AF76" s="51"/>
    </row>
    <row r="77" spans="1:34" x14ac:dyDescent="0.25">
      <c r="A77" s="35" t="s">
        <v>78</v>
      </c>
      <c r="B77" s="35" t="s">
        <v>39</v>
      </c>
      <c r="C77" s="35" t="s">
        <v>79</v>
      </c>
      <c r="D77" s="20" t="s">
        <v>80</v>
      </c>
      <c r="E77" s="20" t="s">
        <v>81</v>
      </c>
      <c r="F77" s="20"/>
      <c r="G77" s="56" t="s">
        <v>309</v>
      </c>
      <c r="H77" s="20"/>
      <c r="I77" s="20"/>
      <c r="J77" s="20" t="s">
        <v>133</v>
      </c>
      <c r="K77" s="20"/>
      <c r="L77" s="20"/>
      <c r="M77" s="20"/>
      <c r="N77" s="20"/>
      <c r="O77" s="70" t="s">
        <v>45</v>
      </c>
      <c r="P77" s="70" t="s">
        <v>277</v>
      </c>
      <c r="Q77" s="28"/>
      <c r="R77" s="20"/>
      <c r="S77" s="20" t="s">
        <v>278</v>
      </c>
      <c r="T77" s="20">
        <v>654</v>
      </c>
      <c r="U77" s="20"/>
      <c r="V77" s="20"/>
      <c r="W77" s="20"/>
      <c r="X77" s="20"/>
      <c r="Y77" s="20"/>
      <c r="Z77" s="20"/>
      <c r="AA77" s="54"/>
      <c r="AB77" s="45"/>
      <c r="AC77" s="49"/>
      <c r="AD77" s="51"/>
      <c r="AE77" s="42"/>
      <c r="AF77" s="51"/>
    </row>
    <row r="78" spans="1:34" x14ac:dyDescent="0.25">
      <c r="A78" s="35" t="s">
        <v>78</v>
      </c>
      <c r="B78" s="35" t="s">
        <v>39</v>
      </c>
      <c r="C78" s="35" t="s">
        <v>79</v>
      </c>
      <c r="D78" s="20" t="s">
        <v>80</v>
      </c>
      <c r="E78" s="20" t="s">
        <v>81</v>
      </c>
      <c r="F78" s="20"/>
      <c r="G78" s="56" t="s">
        <v>310</v>
      </c>
      <c r="H78" s="20"/>
      <c r="I78" s="20"/>
      <c r="J78" s="20" t="s">
        <v>139</v>
      </c>
      <c r="K78" s="20" t="s">
        <v>311</v>
      </c>
      <c r="L78" s="20" t="s">
        <v>312</v>
      </c>
      <c r="M78" s="20"/>
      <c r="N78" s="20"/>
      <c r="O78" s="70" t="s">
        <v>45</v>
      </c>
      <c r="P78" s="70" t="s">
        <v>277</v>
      </c>
      <c r="Q78" s="28" t="s">
        <v>313</v>
      </c>
      <c r="R78" s="20"/>
      <c r="S78" s="20" t="s">
        <v>278</v>
      </c>
      <c r="T78" s="20" t="s">
        <v>314</v>
      </c>
      <c r="U78" s="20"/>
      <c r="V78" s="20"/>
      <c r="W78" s="20"/>
      <c r="X78" s="20"/>
      <c r="Y78" s="20"/>
      <c r="Z78" s="20"/>
      <c r="AA78" s="54"/>
      <c r="AB78" s="45" t="s">
        <v>315</v>
      </c>
      <c r="AC78" s="49" t="s">
        <v>315</v>
      </c>
      <c r="AD78" s="51" t="s">
        <v>62</v>
      </c>
      <c r="AE78" s="42" t="s">
        <v>316</v>
      </c>
      <c r="AF78" s="51" t="s">
        <v>119</v>
      </c>
      <c r="AG78" s="75" t="s">
        <v>119</v>
      </c>
    </row>
    <row r="79" spans="1:34" x14ac:dyDescent="0.25">
      <c r="A79" s="36" t="s">
        <v>78</v>
      </c>
      <c r="B79" s="36" t="s">
        <v>39</v>
      </c>
      <c r="C79" s="36" t="s">
        <v>79</v>
      </c>
      <c r="D79" s="22" t="s">
        <v>80</v>
      </c>
      <c r="E79" s="22" t="s">
        <v>81</v>
      </c>
      <c r="F79" s="22"/>
      <c r="G79" s="57" t="s">
        <v>317</v>
      </c>
      <c r="H79" s="22"/>
      <c r="I79" s="22"/>
      <c r="J79" s="22" t="s">
        <v>144</v>
      </c>
      <c r="K79" s="22" t="s">
        <v>311</v>
      </c>
      <c r="L79" s="22" t="s">
        <v>318</v>
      </c>
      <c r="M79" s="22"/>
      <c r="N79" s="22"/>
      <c r="O79" s="71" t="s">
        <v>45</v>
      </c>
      <c r="P79" s="71" t="s">
        <v>277</v>
      </c>
      <c r="Q79" s="29" t="s">
        <v>313</v>
      </c>
      <c r="R79" s="22"/>
      <c r="S79" s="22" t="s">
        <v>278</v>
      </c>
      <c r="T79" s="22" t="s">
        <v>314</v>
      </c>
      <c r="U79" s="22"/>
      <c r="V79" s="22"/>
      <c r="W79" s="22"/>
      <c r="X79" s="22"/>
      <c r="Y79" s="22"/>
      <c r="Z79" s="22"/>
      <c r="AA79" s="54"/>
      <c r="AB79" s="45" t="s">
        <v>319</v>
      </c>
      <c r="AC79" s="49" t="s">
        <v>319</v>
      </c>
      <c r="AD79" s="51" t="s">
        <v>62</v>
      </c>
      <c r="AE79" s="42" t="s">
        <v>316</v>
      </c>
      <c r="AF79" s="51" t="s">
        <v>125</v>
      </c>
      <c r="AG79" s="75" t="s">
        <v>119</v>
      </c>
    </row>
    <row r="80" spans="1:34" x14ac:dyDescent="0.25">
      <c r="A80" s="20" t="s">
        <v>198</v>
      </c>
      <c r="B80" s="35" t="s">
        <v>39</v>
      </c>
      <c r="C80" s="35" t="s">
        <v>199</v>
      </c>
      <c r="D80" s="20" t="s">
        <v>200</v>
      </c>
      <c r="E80" s="20" t="s">
        <v>201</v>
      </c>
      <c r="F80" s="20"/>
      <c r="G80" s="56" t="s">
        <v>320</v>
      </c>
      <c r="H80" s="20"/>
      <c r="I80" s="20"/>
      <c r="J80" s="20" t="s">
        <v>83</v>
      </c>
      <c r="K80" s="20"/>
      <c r="L80" s="20" t="s">
        <v>321</v>
      </c>
      <c r="M80" s="20"/>
      <c r="N80" s="20"/>
      <c r="O80" s="70" t="s">
        <v>45</v>
      </c>
      <c r="P80" s="56" t="s">
        <v>277</v>
      </c>
      <c r="Q80" s="28" t="s">
        <v>322</v>
      </c>
      <c r="R80" s="20"/>
      <c r="S80" s="20" t="s">
        <v>278</v>
      </c>
      <c r="T80" s="19" t="s">
        <v>323</v>
      </c>
      <c r="U80" s="20"/>
      <c r="V80" s="20"/>
      <c r="W80" s="20"/>
      <c r="X80" s="20"/>
      <c r="Y80" s="20"/>
      <c r="Z80" s="20"/>
      <c r="AA80" s="54"/>
      <c r="AB80" s="45" t="s">
        <v>324</v>
      </c>
      <c r="AC80" s="49" t="s">
        <v>324</v>
      </c>
      <c r="AD80" s="55" t="s">
        <v>237</v>
      </c>
      <c r="AE80" s="42"/>
      <c r="AF80" s="51"/>
      <c r="AH80" s="75"/>
    </row>
    <row r="81" spans="1:34" x14ac:dyDescent="0.25">
      <c r="A81" s="20" t="s">
        <v>198</v>
      </c>
      <c r="B81" s="35" t="s">
        <v>39</v>
      </c>
      <c r="C81" s="35" t="s">
        <v>199</v>
      </c>
      <c r="D81" s="20" t="s">
        <v>200</v>
      </c>
      <c r="E81" s="20" t="s">
        <v>201</v>
      </c>
      <c r="F81" s="20"/>
      <c r="G81" s="56" t="s">
        <v>325</v>
      </c>
      <c r="H81" s="20"/>
      <c r="I81" s="20"/>
      <c r="J81" s="20" t="s">
        <v>87</v>
      </c>
      <c r="K81" s="20"/>
      <c r="L81" s="20" t="s">
        <v>326</v>
      </c>
      <c r="M81" s="20"/>
      <c r="N81" s="20"/>
      <c r="O81" s="70" t="s">
        <v>45</v>
      </c>
      <c r="P81" s="56" t="s">
        <v>277</v>
      </c>
      <c r="Q81" s="28" t="s">
        <v>327</v>
      </c>
      <c r="R81" s="20"/>
      <c r="S81" s="20" t="s">
        <v>278</v>
      </c>
      <c r="T81" s="19" t="s">
        <v>323</v>
      </c>
      <c r="U81" s="20"/>
      <c r="V81" s="20"/>
      <c r="W81" s="20"/>
      <c r="X81" s="20"/>
      <c r="Y81" s="20"/>
      <c r="Z81" s="20"/>
      <c r="AA81" s="54"/>
      <c r="AB81" s="45" t="s">
        <v>324</v>
      </c>
      <c r="AC81" s="49" t="s">
        <v>324</v>
      </c>
      <c r="AD81" s="55" t="s">
        <v>273</v>
      </c>
      <c r="AE81" s="42"/>
      <c r="AF81" s="51"/>
      <c r="AH81" s="75"/>
    </row>
    <row r="82" spans="1:34" x14ac:dyDescent="0.25">
      <c r="A82" s="20" t="s">
        <v>198</v>
      </c>
      <c r="B82" s="35" t="s">
        <v>39</v>
      </c>
      <c r="C82" s="35" t="s">
        <v>199</v>
      </c>
      <c r="D82" s="20" t="s">
        <v>200</v>
      </c>
      <c r="E82" s="20" t="s">
        <v>201</v>
      </c>
      <c r="F82" s="20"/>
      <c r="G82" s="56" t="s">
        <v>328</v>
      </c>
      <c r="H82" s="20"/>
      <c r="I82" s="20"/>
      <c r="J82" s="20" t="s">
        <v>89</v>
      </c>
      <c r="K82" s="20"/>
      <c r="L82" s="20"/>
      <c r="M82" s="20"/>
      <c r="N82" s="20"/>
      <c r="O82" s="70" t="s">
        <v>45</v>
      </c>
      <c r="P82" s="70" t="s">
        <v>277</v>
      </c>
      <c r="Q82" s="28"/>
      <c r="R82" s="20"/>
      <c r="S82" s="20" t="s">
        <v>278</v>
      </c>
      <c r="T82" s="20">
        <v>655</v>
      </c>
      <c r="U82" s="20"/>
      <c r="V82" s="20"/>
      <c r="W82" s="20"/>
      <c r="X82" s="20"/>
      <c r="Y82" s="20"/>
      <c r="Z82" s="20"/>
      <c r="AA82" s="54"/>
      <c r="AB82" s="45"/>
      <c r="AC82" s="49"/>
      <c r="AD82" s="51"/>
      <c r="AE82" s="42"/>
      <c r="AF82" s="51"/>
    </row>
    <row r="83" spans="1:34" x14ac:dyDescent="0.25">
      <c r="A83" s="20" t="s">
        <v>198</v>
      </c>
      <c r="B83" s="35" t="s">
        <v>39</v>
      </c>
      <c r="C83" s="35" t="s">
        <v>199</v>
      </c>
      <c r="D83" s="20" t="s">
        <v>200</v>
      </c>
      <c r="E83" s="20" t="s">
        <v>201</v>
      </c>
      <c r="F83" s="20"/>
      <c r="G83" s="56" t="s">
        <v>329</v>
      </c>
      <c r="H83" s="20"/>
      <c r="I83" s="20"/>
      <c r="J83" s="20" t="s">
        <v>91</v>
      </c>
      <c r="K83" s="20"/>
      <c r="L83" s="20"/>
      <c r="M83" s="20"/>
      <c r="N83" s="20"/>
      <c r="O83" s="70" t="s">
        <v>45</v>
      </c>
      <c r="P83" s="70" t="s">
        <v>277</v>
      </c>
      <c r="Q83" s="28"/>
      <c r="R83" s="20"/>
      <c r="S83" s="20" t="s">
        <v>278</v>
      </c>
      <c r="T83" s="20">
        <v>655</v>
      </c>
      <c r="U83" s="20"/>
      <c r="V83" s="20"/>
      <c r="W83" s="20"/>
      <c r="X83" s="20"/>
      <c r="Y83" s="20"/>
      <c r="Z83" s="20"/>
      <c r="AA83" s="54"/>
      <c r="AB83" s="45"/>
      <c r="AC83" s="49"/>
      <c r="AD83" s="51"/>
      <c r="AE83" s="42"/>
      <c r="AF83" s="51"/>
    </row>
    <row r="84" spans="1:34" x14ac:dyDescent="0.25">
      <c r="A84" s="20" t="s">
        <v>198</v>
      </c>
      <c r="B84" s="35" t="s">
        <v>39</v>
      </c>
      <c r="C84" s="35" t="s">
        <v>199</v>
      </c>
      <c r="D84" s="20" t="s">
        <v>200</v>
      </c>
      <c r="E84" s="20" t="s">
        <v>201</v>
      </c>
      <c r="F84" s="20"/>
      <c r="G84" s="56" t="s">
        <v>330</v>
      </c>
      <c r="H84" s="20"/>
      <c r="I84" s="20"/>
      <c r="J84" s="20" t="s">
        <v>69</v>
      </c>
      <c r="K84" s="20"/>
      <c r="L84" s="20"/>
      <c r="M84" s="20"/>
      <c r="N84" s="20"/>
      <c r="O84" s="70" t="s">
        <v>45</v>
      </c>
      <c r="P84" s="70" t="s">
        <v>277</v>
      </c>
      <c r="Q84" s="28"/>
      <c r="R84" s="20"/>
      <c r="S84" s="20" t="s">
        <v>278</v>
      </c>
      <c r="T84" s="20">
        <v>655</v>
      </c>
      <c r="U84" s="20"/>
      <c r="V84" s="20"/>
      <c r="W84" s="20"/>
      <c r="X84" s="20"/>
      <c r="Y84" s="20"/>
      <c r="Z84" s="20"/>
      <c r="AA84" s="54"/>
      <c r="AB84" s="45"/>
      <c r="AC84" s="49"/>
      <c r="AD84" s="51"/>
      <c r="AE84" s="42"/>
      <c r="AF84" s="51"/>
    </row>
    <row r="85" spans="1:34" x14ac:dyDescent="0.25">
      <c r="A85" s="20" t="s">
        <v>198</v>
      </c>
      <c r="B85" s="35" t="s">
        <v>39</v>
      </c>
      <c r="C85" s="35" t="s">
        <v>199</v>
      </c>
      <c r="D85" s="20" t="s">
        <v>200</v>
      </c>
      <c r="E85" s="20" t="s">
        <v>201</v>
      </c>
      <c r="F85" s="20"/>
      <c r="G85" s="56" t="s">
        <v>331</v>
      </c>
      <c r="H85" s="20"/>
      <c r="I85" s="20"/>
      <c r="J85" s="20" t="s">
        <v>94</v>
      </c>
      <c r="K85" s="20"/>
      <c r="L85" s="20"/>
      <c r="M85" s="20"/>
      <c r="N85" s="20"/>
      <c r="O85" s="70" t="s">
        <v>45</v>
      </c>
      <c r="P85" s="70" t="s">
        <v>277</v>
      </c>
      <c r="Q85" s="28"/>
      <c r="R85" s="20"/>
      <c r="S85" s="20" t="s">
        <v>278</v>
      </c>
      <c r="T85" s="20">
        <v>655</v>
      </c>
      <c r="U85" s="20"/>
      <c r="V85" s="20"/>
      <c r="W85" s="20"/>
      <c r="X85" s="20"/>
      <c r="Y85" s="20"/>
      <c r="Z85" s="20"/>
      <c r="AA85" s="54"/>
      <c r="AB85" s="45"/>
      <c r="AC85" s="49"/>
      <c r="AD85" s="51"/>
      <c r="AE85" s="42"/>
      <c r="AF85" s="51"/>
    </row>
    <row r="86" spans="1:34" x14ac:dyDescent="0.25">
      <c r="A86" s="20" t="s">
        <v>198</v>
      </c>
      <c r="B86" s="35" t="s">
        <v>39</v>
      </c>
      <c r="C86" s="35" t="s">
        <v>199</v>
      </c>
      <c r="D86" s="20" t="s">
        <v>200</v>
      </c>
      <c r="E86" s="20" t="s">
        <v>201</v>
      </c>
      <c r="F86" s="20"/>
      <c r="G86" s="56" t="s">
        <v>332</v>
      </c>
      <c r="H86" s="20"/>
      <c r="I86" s="20"/>
      <c r="J86" s="20" t="s">
        <v>96</v>
      </c>
      <c r="K86" s="20"/>
      <c r="L86" s="20"/>
      <c r="M86" s="20"/>
      <c r="N86" s="20"/>
      <c r="O86" s="70" t="s">
        <v>45</v>
      </c>
      <c r="P86" s="70" t="s">
        <v>277</v>
      </c>
      <c r="Q86" s="28"/>
      <c r="R86" s="20"/>
      <c r="S86" s="20" t="s">
        <v>278</v>
      </c>
      <c r="T86" s="20">
        <v>655</v>
      </c>
      <c r="U86" s="20"/>
      <c r="V86" s="20"/>
      <c r="W86" s="20"/>
      <c r="X86" s="20"/>
      <c r="Y86" s="20"/>
      <c r="Z86" s="20"/>
      <c r="AA86" s="54"/>
      <c r="AB86" s="45"/>
      <c r="AC86" s="49"/>
      <c r="AD86" s="51"/>
      <c r="AE86" s="42"/>
      <c r="AF86" s="51"/>
    </row>
    <row r="87" spans="1:34" x14ac:dyDescent="0.25">
      <c r="A87" s="20" t="s">
        <v>198</v>
      </c>
      <c r="B87" s="35" t="s">
        <v>39</v>
      </c>
      <c r="C87" s="35" t="s">
        <v>199</v>
      </c>
      <c r="D87" s="20" t="s">
        <v>200</v>
      </c>
      <c r="E87" s="20" t="s">
        <v>201</v>
      </c>
      <c r="F87" s="20"/>
      <c r="G87" s="56" t="s">
        <v>333</v>
      </c>
      <c r="H87" s="20"/>
      <c r="I87" s="20"/>
      <c r="J87" s="20" t="s">
        <v>98</v>
      </c>
      <c r="K87" s="20"/>
      <c r="L87" s="20"/>
      <c r="M87" s="20"/>
      <c r="N87" s="20"/>
      <c r="O87" s="70" t="s">
        <v>45</v>
      </c>
      <c r="P87" s="70" t="s">
        <v>277</v>
      </c>
      <c r="Q87" s="28"/>
      <c r="R87" s="20"/>
      <c r="S87" s="20" t="s">
        <v>278</v>
      </c>
      <c r="T87" s="20">
        <v>655</v>
      </c>
      <c r="U87" s="20"/>
      <c r="V87" s="20"/>
      <c r="W87" s="20"/>
      <c r="X87" s="20"/>
      <c r="Y87" s="20"/>
      <c r="Z87" s="20"/>
      <c r="AA87" s="54"/>
      <c r="AB87" s="45"/>
      <c r="AC87" s="49"/>
      <c r="AD87" s="51"/>
      <c r="AE87" s="42"/>
      <c r="AF87" s="51"/>
    </row>
    <row r="88" spans="1:34" x14ac:dyDescent="0.25">
      <c r="A88" s="20" t="s">
        <v>198</v>
      </c>
      <c r="B88" s="35" t="s">
        <v>39</v>
      </c>
      <c r="C88" s="35" t="s">
        <v>199</v>
      </c>
      <c r="D88" s="20" t="s">
        <v>200</v>
      </c>
      <c r="E88" s="20" t="s">
        <v>201</v>
      </c>
      <c r="F88" s="20"/>
      <c r="G88" s="56" t="s">
        <v>334</v>
      </c>
      <c r="H88" s="20"/>
      <c r="I88" s="20"/>
      <c r="J88" s="20" t="s">
        <v>100</v>
      </c>
      <c r="K88" s="20"/>
      <c r="L88" s="20"/>
      <c r="M88" s="20"/>
      <c r="N88" s="20"/>
      <c r="O88" s="70" t="s">
        <v>45</v>
      </c>
      <c r="P88" s="70" t="s">
        <v>277</v>
      </c>
      <c r="Q88" s="28"/>
      <c r="R88" s="20"/>
      <c r="S88" s="20" t="s">
        <v>278</v>
      </c>
      <c r="T88" s="20">
        <v>656</v>
      </c>
      <c r="U88" s="20"/>
      <c r="V88" s="20"/>
      <c r="W88" s="20"/>
      <c r="X88" s="20"/>
      <c r="Y88" s="20"/>
      <c r="Z88" s="20"/>
      <c r="AA88" s="54"/>
      <c r="AB88" s="45"/>
      <c r="AC88" s="49"/>
      <c r="AD88" s="51"/>
      <c r="AE88" s="42"/>
      <c r="AF88" s="51"/>
    </row>
    <row r="89" spans="1:34" x14ac:dyDescent="0.25">
      <c r="A89" s="20" t="s">
        <v>198</v>
      </c>
      <c r="B89" s="35" t="s">
        <v>39</v>
      </c>
      <c r="C89" s="35" t="s">
        <v>199</v>
      </c>
      <c r="D89" s="20" t="s">
        <v>200</v>
      </c>
      <c r="E89" s="20" t="s">
        <v>201</v>
      </c>
      <c r="F89" s="20"/>
      <c r="G89" s="56" t="s">
        <v>335</v>
      </c>
      <c r="H89" s="20"/>
      <c r="I89" s="20"/>
      <c r="J89" s="20" t="s">
        <v>57</v>
      </c>
      <c r="K89" s="20"/>
      <c r="L89" s="20"/>
      <c r="M89" s="20"/>
      <c r="N89" s="20"/>
      <c r="O89" s="70" t="s">
        <v>45</v>
      </c>
      <c r="P89" s="70" t="s">
        <v>277</v>
      </c>
      <c r="Q89" s="28"/>
      <c r="R89" s="20"/>
      <c r="S89" s="20" t="s">
        <v>278</v>
      </c>
      <c r="T89" s="20">
        <v>656</v>
      </c>
      <c r="U89" s="20"/>
      <c r="V89" s="20"/>
      <c r="W89" s="20"/>
      <c r="X89" s="20"/>
      <c r="Y89" s="20"/>
      <c r="Z89" s="20"/>
      <c r="AA89" s="54"/>
      <c r="AB89" s="45"/>
      <c r="AC89" s="49"/>
      <c r="AD89" s="51"/>
      <c r="AE89" s="42"/>
      <c r="AF89" s="51"/>
    </row>
    <row r="90" spans="1:34" x14ac:dyDescent="0.25">
      <c r="A90" s="20" t="s">
        <v>198</v>
      </c>
      <c r="B90" s="35" t="s">
        <v>39</v>
      </c>
      <c r="C90" s="35" t="s">
        <v>199</v>
      </c>
      <c r="D90" s="20" t="s">
        <v>200</v>
      </c>
      <c r="E90" s="20" t="s">
        <v>201</v>
      </c>
      <c r="F90" s="20"/>
      <c r="G90" s="56" t="s">
        <v>336</v>
      </c>
      <c r="H90" s="20"/>
      <c r="I90" s="20"/>
      <c r="J90" s="20" t="s">
        <v>115</v>
      </c>
      <c r="K90" s="20"/>
      <c r="L90" s="20"/>
      <c r="M90" s="20"/>
      <c r="N90" s="20"/>
      <c r="O90" s="70" t="s">
        <v>45</v>
      </c>
      <c r="P90" s="70" t="s">
        <v>277</v>
      </c>
      <c r="Q90" s="28"/>
      <c r="R90" s="20"/>
      <c r="S90" s="20" t="s">
        <v>278</v>
      </c>
      <c r="T90" s="20">
        <v>656</v>
      </c>
      <c r="U90" s="20"/>
      <c r="V90" s="20"/>
      <c r="W90" s="20"/>
      <c r="X90" s="20"/>
      <c r="Y90" s="20"/>
      <c r="Z90" s="20"/>
      <c r="AA90" s="54"/>
      <c r="AB90" s="45"/>
      <c r="AC90" s="49"/>
      <c r="AD90" s="51"/>
      <c r="AE90" s="42"/>
      <c r="AF90" s="51"/>
    </row>
    <row r="91" spans="1:34" x14ac:dyDescent="0.25">
      <c r="A91" s="20" t="s">
        <v>198</v>
      </c>
      <c r="B91" s="35" t="s">
        <v>39</v>
      </c>
      <c r="C91" s="35" t="s">
        <v>199</v>
      </c>
      <c r="D91" s="20" t="s">
        <v>200</v>
      </c>
      <c r="E91" s="20" t="s">
        <v>201</v>
      </c>
      <c r="F91" s="20"/>
      <c r="G91" s="56" t="s">
        <v>337</v>
      </c>
      <c r="H91" s="20"/>
      <c r="I91" s="20"/>
      <c r="J91" s="20" t="s">
        <v>121</v>
      </c>
      <c r="K91" s="20"/>
      <c r="L91" s="20"/>
      <c r="M91" s="20"/>
      <c r="N91" s="20"/>
      <c r="O91" s="70" t="s">
        <v>45</v>
      </c>
      <c r="P91" s="70" t="s">
        <v>277</v>
      </c>
      <c r="Q91" s="28"/>
      <c r="R91" s="20"/>
      <c r="S91" s="20" t="s">
        <v>278</v>
      </c>
      <c r="T91" s="20">
        <v>656</v>
      </c>
      <c r="U91" s="20"/>
      <c r="V91" s="20"/>
      <c r="W91" s="20"/>
      <c r="X91" s="20"/>
      <c r="Y91" s="20"/>
      <c r="Z91" s="20"/>
      <c r="AA91" s="54"/>
      <c r="AB91" s="45"/>
      <c r="AC91" s="49"/>
      <c r="AD91" s="51"/>
      <c r="AE91" s="42"/>
      <c r="AF91" s="51"/>
    </row>
    <row r="92" spans="1:34" x14ac:dyDescent="0.25">
      <c r="A92" s="20" t="s">
        <v>198</v>
      </c>
      <c r="B92" s="35" t="s">
        <v>39</v>
      </c>
      <c r="C92" s="35" t="s">
        <v>199</v>
      </c>
      <c r="D92" s="20" t="s">
        <v>200</v>
      </c>
      <c r="E92" s="20" t="s">
        <v>201</v>
      </c>
      <c r="F92" s="20"/>
      <c r="G92" s="56" t="s">
        <v>338</v>
      </c>
      <c r="H92" s="20"/>
      <c r="I92" s="20"/>
      <c r="J92" s="20" t="s">
        <v>127</v>
      </c>
      <c r="K92" s="20"/>
      <c r="L92" s="20"/>
      <c r="M92" s="20"/>
      <c r="N92" s="20"/>
      <c r="O92" s="70" t="s">
        <v>45</v>
      </c>
      <c r="P92" s="70" t="s">
        <v>277</v>
      </c>
      <c r="Q92" s="28"/>
      <c r="R92" s="20"/>
      <c r="S92" s="20" t="s">
        <v>278</v>
      </c>
      <c r="T92" s="20">
        <v>656</v>
      </c>
      <c r="U92" s="20"/>
      <c r="V92" s="20"/>
      <c r="W92" s="20"/>
      <c r="X92" s="20"/>
      <c r="Y92" s="20"/>
      <c r="Z92" s="20"/>
      <c r="AA92" s="54"/>
      <c r="AB92" s="45"/>
      <c r="AC92" s="49"/>
      <c r="AD92" s="51"/>
      <c r="AE92" s="42"/>
      <c r="AF92" s="51"/>
    </row>
    <row r="93" spans="1:34" x14ac:dyDescent="0.25">
      <c r="A93" s="20" t="s">
        <v>198</v>
      </c>
      <c r="B93" s="35" t="s">
        <v>39</v>
      </c>
      <c r="C93" s="35" t="s">
        <v>199</v>
      </c>
      <c r="D93" s="20" t="s">
        <v>200</v>
      </c>
      <c r="E93" s="20" t="s">
        <v>201</v>
      </c>
      <c r="F93" s="20"/>
      <c r="G93" s="56" t="s">
        <v>339</v>
      </c>
      <c r="H93" s="20"/>
      <c r="I93" s="20"/>
      <c r="J93" s="20" t="s">
        <v>133</v>
      </c>
      <c r="K93" s="20"/>
      <c r="L93" s="20"/>
      <c r="M93" s="20"/>
      <c r="N93" s="20"/>
      <c r="O93" s="70" t="s">
        <v>45</v>
      </c>
      <c r="P93" s="70" t="s">
        <v>277</v>
      </c>
      <c r="Q93" s="28"/>
      <c r="R93" s="20"/>
      <c r="S93" s="20" t="s">
        <v>278</v>
      </c>
      <c r="T93" s="20">
        <v>656</v>
      </c>
      <c r="U93" s="20"/>
      <c r="V93" s="20"/>
      <c r="W93" s="20"/>
      <c r="X93" s="20"/>
      <c r="Y93" s="20"/>
      <c r="Z93" s="20"/>
      <c r="AA93" s="54"/>
      <c r="AB93" s="45"/>
      <c r="AC93" s="49"/>
      <c r="AD93" s="51"/>
      <c r="AE93" s="42"/>
      <c r="AF93" s="51"/>
    </row>
    <row r="94" spans="1:34" x14ac:dyDescent="0.25">
      <c r="A94" s="20" t="s">
        <v>198</v>
      </c>
      <c r="B94" s="35" t="s">
        <v>39</v>
      </c>
      <c r="C94" s="35" t="s">
        <v>199</v>
      </c>
      <c r="D94" s="20" t="s">
        <v>200</v>
      </c>
      <c r="E94" s="20" t="s">
        <v>201</v>
      </c>
      <c r="F94" s="20"/>
      <c r="G94" s="56" t="s">
        <v>340</v>
      </c>
      <c r="H94" s="20"/>
      <c r="I94" s="20"/>
      <c r="J94" s="20" t="s">
        <v>139</v>
      </c>
      <c r="K94" s="20"/>
      <c r="L94" s="20"/>
      <c r="M94" s="20"/>
      <c r="N94" s="20"/>
      <c r="O94" s="70" t="s">
        <v>45</v>
      </c>
      <c r="P94" s="70" t="s">
        <v>277</v>
      </c>
      <c r="Q94" s="28"/>
      <c r="R94" s="20"/>
      <c r="S94" s="20" t="s">
        <v>278</v>
      </c>
      <c r="T94" s="20">
        <v>656</v>
      </c>
      <c r="U94" s="20"/>
      <c r="V94" s="20"/>
      <c r="W94" s="20"/>
      <c r="X94" s="20"/>
      <c r="Y94" s="20"/>
      <c r="Z94" s="20"/>
      <c r="AA94" s="54"/>
      <c r="AB94" s="45"/>
      <c r="AC94" s="49"/>
      <c r="AD94" s="51"/>
      <c r="AE94" s="42"/>
      <c r="AF94" s="51"/>
    </row>
    <row r="95" spans="1:34" x14ac:dyDescent="0.25">
      <c r="A95" s="22" t="s">
        <v>198</v>
      </c>
      <c r="B95" s="36" t="s">
        <v>39</v>
      </c>
      <c r="C95" s="36" t="s">
        <v>199</v>
      </c>
      <c r="D95" s="22" t="s">
        <v>200</v>
      </c>
      <c r="E95" s="22" t="s">
        <v>201</v>
      </c>
      <c r="F95" s="22"/>
      <c r="G95" s="57" t="s">
        <v>341</v>
      </c>
      <c r="H95" s="22"/>
      <c r="I95" s="22"/>
      <c r="J95" s="22" t="s">
        <v>144</v>
      </c>
      <c r="K95" s="22"/>
      <c r="L95" s="22"/>
      <c r="M95" s="22"/>
      <c r="N95" s="22"/>
      <c r="O95" s="71" t="s">
        <v>45</v>
      </c>
      <c r="P95" s="71" t="s">
        <v>277</v>
      </c>
      <c r="Q95" s="29"/>
      <c r="R95" s="22"/>
      <c r="S95" s="22" t="s">
        <v>278</v>
      </c>
      <c r="T95" s="22">
        <v>656</v>
      </c>
      <c r="U95" s="22"/>
      <c r="V95" s="22"/>
      <c r="W95" s="22"/>
      <c r="X95" s="22"/>
      <c r="Y95" s="22"/>
      <c r="Z95" s="22"/>
      <c r="AA95" s="54"/>
      <c r="AB95" s="45"/>
      <c r="AC95" s="49"/>
      <c r="AD95" s="51"/>
      <c r="AE95" s="42"/>
      <c r="AF95" s="51"/>
    </row>
    <row r="96" spans="1:34" x14ac:dyDescent="0.25">
      <c r="A96" s="20" t="s">
        <v>225</v>
      </c>
      <c r="B96" s="35" t="s">
        <v>39</v>
      </c>
      <c r="C96" s="35" t="s">
        <v>226</v>
      </c>
      <c r="D96" s="20" t="s">
        <v>227</v>
      </c>
      <c r="E96" s="20" t="s">
        <v>342</v>
      </c>
      <c r="F96" s="20"/>
      <c r="G96" s="56" t="s">
        <v>343</v>
      </c>
      <c r="H96" s="20" t="s">
        <v>83</v>
      </c>
      <c r="I96" s="20"/>
      <c r="J96" s="19" t="s">
        <v>230</v>
      </c>
      <c r="K96" s="20" t="s">
        <v>231</v>
      </c>
      <c r="L96" s="43" t="s">
        <v>344</v>
      </c>
      <c r="M96" s="20"/>
      <c r="N96" s="20"/>
      <c r="O96" s="70" t="s">
        <v>45</v>
      </c>
      <c r="P96" s="70" t="s">
        <v>277</v>
      </c>
      <c r="Q96" s="37" t="s">
        <v>345</v>
      </c>
      <c r="R96" s="34" t="s">
        <v>104</v>
      </c>
      <c r="S96" s="20" t="s">
        <v>278</v>
      </c>
      <c r="T96" s="34" t="s">
        <v>346</v>
      </c>
      <c r="U96" s="34" t="s">
        <v>235</v>
      </c>
      <c r="V96" s="34"/>
      <c r="W96" s="20"/>
      <c r="X96" s="20"/>
      <c r="Y96" s="20"/>
      <c r="Z96" s="20"/>
      <c r="AA96" s="54"/>
      <c r="AB96" s="45" t="s">
        <v>236</v>
      </c>
      <c r="AC96" s="49" t="s">
        <v>236</v>
      </c>
      <c r="AD96" s="51" t="s">
        <v>273</v>
      </c>
      <c r="AE96" s="42" t="s">
        <v>238</v>
      </c>
      <c r="AF96" s="51" t="s">
        <v>125</v>
      </c>
    </row>
    <row r="97" spans="1:34" x14ac:dyDescent="0.25">
      <c r="A97" s="20" t="s">
        <v>225</v>
      </c>
      <c r="B97" s="35" t="s">
        <v>39</v>
      </c>
      <c r="C97" s="35" t="s">
        <v>226</v>
      </c>
      <c r="D97" s="20" t="s">
        <v>227</v>
      </c>
      <c r="E97" s="20" t="s">
        <v>342</v>
      </c>
      <c r="F97" s="20"/>
      <c r="G97" s="56" t="s">
        <v>347</v>
      </c>
      <c r="H97" s="20"/>
      <c r="I97" s="20"/>
      <c r="J97" s="19" t="s">
        <v>240</v>
      </c>
      <c r="K97" s="41" t="s">
        <v>231</v>
      </c>
      <c r="L97" s="41" t="s">
        <v>348</v>
      </c>
      <c r="M97" s="20"/>
      <c r="N97" s="20"/>
      <c r="O97" s="70" t="s">
        <v>45</v>
      </c>
      <c r="P97" s="70" t="s">
        <v>349</v>
      </c>
      <c r="Q97" s="28" t="s">
        <v>350</v>
      </c>
      <c r="R97" s="20" t="s">
        <v>104</v>
      </c>
      <c r="S97" s="20" t="s">
        <v>351</v>
      </c>
      <c r="T97" s="28" t="s">
        <v>352</v>
      </c>
      <c r="U97" s="20" t="s">
        <v>235</v>
      </c>
      <c r="V97" s="64"/>
      <c r="W97" s="20"/>
      <c r="X97" s="20"/>
      <c r="Y97" s="20"/>
      <c r="Z97" s="20"/>
      <c r="AA97" s="54"/>
      <c r="AB97" s="45" t="s">
        <v>236</v>
      </c>
      <c r="AC97" s="49" t="s">
        <v>236</v>
      </c>
      <c r="AD97" s="51"/>
      <c r="AE97" s="42"/>
      <c r="AF97" s="51"/>
    </row>
    <row r="98" spans="1:34" x14ac:dyDescent="0.25">
      <c r="A98" s="20" t="s">
        <v>225</v>
      </c>
      <c r="B98" s="35" t="s">
        <v>39</v>
      </c>
      <c r="C98" s="35" t="s">
        <v>226</v>
      </c>
      <c r="D98" s="20" t="s">
        <v>227</v>
      </c>
      <c r="E98" s="20" t="s">
        <v>342</v>
      </c>
      <c r="F98" s="20"/>
      <c r="G98" s="56" t="s">
        <v>353</v>
      </c>
      <c r="H98" s="20"/>
      <c r="I98" s="20"/>
      <c r="J98" s="19" t="s">
        <v>249</v>
      </c>
      <c r="K98" s="20"/>
      <c r="L98" s="20"/>
      <c r="M98" s="20"/>
      <c r="N98" s="20"/>
      <c r="O98" s="70" t="s">
        <v>45</v>
      </c>
      <c r="P98" s="70" t="s">
        <v>277</v>
      </c>
      <c r="Q98" s="37"/>
      <c r="R98" s="20"/>
      <c r="S98" s="20" t="s">
        <v>278</v>
      </c>
      <c r="T98" s="20" t="s">
        <v>354</v>
      </c>
      <c r="U98" s="20"/>
      <c r="V98" s="65"/>
      <c r="W98" s="20"/>
      <c r="X98" s="20"/>
      <c r="Y98" s="20"/>
      <c r="Z98" s="20"/>
      <c r="AA98" s="54"/>
      <c r="AB98" s="45"/>
      <c r="AC98" s="49"/>
      <c r="AD98" s="51"/>
      <c r="AE98" s="42"/>
      <c r="AF98" s="51"/>
    </row>
    <row r="99" spans="1:34" x14ac:dyDescent="0.25">
      <c r="A99" s="20" t="s">
        <v>225</v>
      </c>
      <c r="B99" s="35" t="s">
        <v>39</v>
      </c>
      <c r="C99" s="35" t="s">
        <v>226</v>
      </c>
      <c r="D99" s="20" t="s">
        <v>227</v>
      </c>
      <c r="E99" s="20" t="s">
        <v>342</v>
      </c>
      <c r="F99" s="20"/>
      <c r="G99" s="56" t="s">
        <v>355</v>
      </c>
      <c r="H99" s="20"/>
      <c r="I99" s="20"/>
      <c r="J99" s="19" t="s">
        <v>255</v>
      </c>
      <c r="K99" s="20"/>
      <c r="L99" s="20"/>
      <c r="M99" s="20"/>
      <c r="N99" s="20"/>
      <c r="O99" s="70" t="s">
        <v>45</v>
      </c>
      <c r="P99" s="70" t="s">
        <v>277</v>
      </c>
      <c r="Q99" s="37"/>
      <c r="R99" s="20"/>
      <c r="S99" s="20" t="s">
        <v>278</v>
      </c>
      <c r="T99" s="20" t="s">
        <v>354</v>
      </c>
      <c r="U99" s="20"/>
      <c r="V99" s="20"/>
      <c r="W99" s="20"/>
      <c r="X99" s="20"/>
      <c r="Y99" s="20"/>
      <c r="Z99" s="20"/>
      <c r="AA99" s="54"/>
      <c r="AB99" s="45"/>
      <c r="AC99" s="49"/>
      <c r="AD99" s="51"/>
      <c r="AE99" s="42"/>
      <c r="AF99" s="51"/>
    </row>
    <row r="100" spans="1:34" x14ac:dyDescent="0.25">
      <c r="A100" s="20" t="s">
        <v>225</v>
      </c>
      <c r="B100" s="35" t="s">
        <v>39</v>
      </c>
      <c r="C100" s="35" t="s">
        <v>226</v>
      </c>
      <c r="D100" s="20" t="s">
        <v>227</v>
      </c>
      <c r="E100" s="20" t="s">
        <v>342</v>
      </c>
      <c r="F100" s="20"/>
      <c r="G100" s="56" t="s">
        <v>356</v>
      </c>
      <c r="H100" s="20" t="s">
        <v>83</v>
      </c>
      <c r="I100" s="20"/>
      <c r="J100" s="19" t="s">
        <v>261</v>
      </c>
      <c r="K100" s="20" t="s">
        <v>231</v>
      </c>
      <c r="L100" s="43" t="s">
        <v>357</v>
      </c>
      <c r="M100" s="20"/>
      <c r="N100" s="20"/>
      <c r="O100" s="70" t="s">
        <v>45</v>
      </c>
      <c r="P100" s="70" t="s">
        <v>277</v>
      </c>
      <c r="Q100" s="66" t="s">
        <v>345</v>
      </c>
      <c r="R100" s="20" t="s">
        <v>104</v>
      </c>
      <c r="S100" s="20" t="s">
        <v>278</v>
      </c>
      <c r="T100" s="20" t="s">
        <v>358</v>
      </c>
      <c r="U100" s="20" t="s">
        <v>235</v>
      </c>
      <c r="V100" s="20"/>
      <c r="W100" s="20"/>
      <c r="X100" s="20"/>
      <c r="Y100" s="20"/>
      <c r="Z100" s="20"/>
      <c r="AA100" s="54"/>
      <c r="AB100" s="45" t="s">
        <v>263</v>
      </c>
      <c r="AC100" s="49" t="s">
        <v>263</v>
      </c>
      <c r="AD100" s="51" t="s">
        <v>273</v>
      </c>
      <c r="AE100" s="42"/>
      <c r="AF100" s="51"/>
    </row>
    <row r="101" spans="1:34" x14ac:dyDescent="0.25">
      <c r="A101" s="20" t="s">
        <v>225</v>
      </c>
      <c r="B101" s="35" t="s">
        <v>39</v>
      </c>
      <c r="C101" s="35" t="s">
        <v>226</v>
      </c>
      <c r="D101" s="20" t="s">
        <v>227</v>
      </c>
      <c r="E101" s="20" t="s">
        <v>342</v>
      </c>
      <c r="F101" s="20"/>
      <c r="G101" s="56" t="s">
        <v>359</v>
      </c>
      <c r="H101" s="20"/>
      <c r="I101" s="20"/>
      <c r="J101" s="19" t="s">
        <v>265</v>
      </c>
      <c r="K101" s="41" t="s">
        <v>231</v>
      </c>
      <c r="L101" s="41" t="s">
        <v>360</v>
      </c>
      <c r="M101" s="20"/>
      <c r="N101" s="20"/>
      <c r="O101" s="70" t="s">
        <v>45</v>
      </c>
      <c r="P101" s="70" t="s">
        <v>349</v>
      </c>
      <c r="Q101" s="28" t="s">
        <v>350</v>
      </c>
      <c r="R101" s="20" t="s">
        <v>104</v>
      </c>
      <c r="S101" s="20" t="s">
        <v>351</v>
      </c>
      <c r="T101" s="20" t="s">
        <v>352</v>
      </c>
      <c r="U101" s="20" t="s">
        <v>235</v>
      </c>
      <c r="V101" s="20"/>
      <c r="W101" s="20"/>
      <c r="X101" s="20"/>
      <c r="Y101" s="20"/>
      <c r="Z101" s="20"/>
      <c r="AA101" s="54"/>
      <c r="AB101" s="45" t="s">
        <v>263</v>
      </c>
      <c r="AC101" s="49" t="s">
        <v>263</v>
      </c>
      <c r="AD101" s="51"/>
      <c r="AE101" s="42"/>
      <c r="AF101" s="51"/>
    </row>
    <row r="102" spans="1:34" x14ac:dyDescent="0.25">
      <c r="A102" s="20" t="s">
        <v>225</v>
      </c>
      <c r="B102" s="35" t="s">
        <v>39</v>
      </c>
      <c r="C102" s="35" t="s">
        <v>226</v>
      </c>
      <c r="D102" s="20" t="s">
        <v>227</v>
      </c>
      <c r="E102" s="20" t="s">
        <v>342</v>
      </c>
      <c r="F102" s="20"/>
      <c r="G102" s="56" t="s">
        <v>361</v>
      </c>
      <c r="H102" s="20"/>
      <c r="I102" s="20"/>
      <c r="J102" s="19" t="s">
        <v>269</v>
      </c>
      <c r="K102" s="20"/>
      <c r="L102" s="20"/>
      <c r="M102" s="20"/>
      <c r="N102" s="20"/>
      <c r="O102" s="70" t="s">
        <v>45</v>
      </c>
      <c r="P102" s="70" t="s">
        <v>277</v>
      </c>
      <c r="Q102" s="28"/>
      <c r="R102" s="20"/>
      <c r="S102" s="20" t="s">
        <v>278</v>
      </c>
      <c r="T102" s="20" t="s">
        <v>354</v>
      </c>
      <c r="U102" s="20"/>
      <c r="V102" s="20"/>
      <c r="W102" s="20"/>
      <c r="X102" s="20"/>
      <c r="Y102" s="20"/>
      <c r="Z102" s="20"/>
      <c r="AA102" s="54"/>
      <c r="AB102" s="45"/>
      <c r="AC102" s="49"/>
      <c r="AD102" s="51"/>
      <c r="AE102" s="42"/>
      <c r="AF102" s="51"/>
    </row>
    <row r="103" spans="1:34" x14ac:dyDescent="0.25">
      <c r="A103" s="22" t="s">
        <v>225</v>
      </c>
      <c r="B103" s="36" t="s">
        <v>39</v>
      </c>
      <c r="C103" s="36" t="s">
        <v>226</v>
      </c>
      <c r="D103" s="22" t="s">
        <v>227</v>
      </c>
      <c r="E103" s="22" t="s">
        <v>342</v>
      </c>
      <c r="F103" s="22"/>
      <c r="G103" s="57" t="s">
        <v>362</v>
      </c>
      <c r="H103" s="22"/>
      <c r="I103" s="22"/>
      <c r="J103" s="31" t="s">
        <v>275</v>
      </c>
      <c r="K103" s="22"/>
      <c r="L103" s="22"/>
      <c r="M103" s="22"/>
      <c r="N103" s="22"/>
      <c r="O103" s="71" t="s">
        <v>45</v>
      </c>
      <c r="P103" s="71" t="s">
        <v>277</v>
      </c>
      <c r="Q103" s="29"/>
      <c r="R103" s="22"/>
      <c r="S103" s="22" t="s">
        <v>278</v>
      </c>
      <c r="T103" s="22" t="s">
        <v>354</v>
      </c>
      <c r="U103" s="22"/>
      <c r="V103" s="22"/>
      <c r="W103" s="22"/>
      <c r="X103" s="22"/>
      <c r="Y103" s="22"/>
      <c r="Z103" s="22"/>
      <c r="AA103" s="54"/>
      <c r="AB103" s="45"/>
      <c r="AC103" s="49"/>
      <c r="AD103" s="51"/>
      <c r="AE103" s="42"/>
      <c r="AF103" s="51"/>
    </row>
    <row r="104" spans="1:34" x14ac:dyDescent="0.25">
      <c r="A104" s="20" t="s">
        <v>225</v>
      </c>
      <c r="B104" s="35" t="s">
        <v>39</v>
      </c>
      <c r="C104" s="35" t="s">
        <v>226</v>
      </c>
      <c r="D104" s="20" t="s">
        <v>227</v>
      </c>
      <c r="E104" s="20" t="s">
        <v>363</v>
      </c>
      <c r="F104" s="20"/>
      <c r="G104" s="56" t="s">
        <v>364</v>
      </c>
      <c r="H104" s="20"/>
      <c r="I104" s="20"/>
      <c r="J104" s="19" t="s">
        <v>230</v>
      </c>
      <c r="K104" s="38" t="s">
        <v>365</v>
      </c>
      <c r="L104" s="38" t="s">
        <v>242</v>
      </c>
      <c r="M104" s="20"/>
      <c r="N104" s="20"/>
      <c r="O104" s="70" t="s">
        <v>45</v>
      </c>
      <c r="P104" s="70" t="s">
        <v>366</v>
      </c>
      <c r="Q104" s="37" t="s">
        <v>367</v>
      </c>
      <c r="R104" s="20"/>
      <c r="S104" s="20" t="s">
        <v>278</v>
      </c>
      <c r="T104" s="19" t="s">
        <v>368</v>
      </c>
      <c r="U104" s="20"/>
      <c r="V104" s="20"/>
      <c r="W104" s="20"/>
      <c r="X104" s="20"/>
      <c r="Y104" s="20"/>
      <c r="Z104" s="20"/>
      <c r="AA104" s="54"/>
      <c r="AB104" s="45" t="s">
        <v>369</v>
      </c>
      <c r="AC104" s="49" t="s">
        <v>369</v>
      </c>
      <c r="AD104" s="51" t="s">
        <v>237</v>
      </c>
      <c r="AE104" s="58" t="s">
        <v>370</v>
      </c>
      <c r="AF104" s="51" t="s">
        <v>137</v>
      </c>
      <c r="AH104" s="75" t="s">
        <v>113</v>
      </c>
    </row>
    <row r="105" spans="1:34" x14ac:dyDescent="0.25">
      <c r="A105" s="20" t="s">
        <v>225</v>
      </c>
      <c r="B105" s="35" t="s">
        <v>39</v>
      </c>
      <c r="C105" s="35" t="s">
        <v>226</v>
      </c>
      <c r="D105" s="20" t="s">
        <v>227</v>
      </c>
      <c r="E105" s="20" t="s">
        <v>363</v>
      </c>
      <c r="F105" s="20"/>
      <c r="G105" s="56" t="s">
        <v>371</v>
      </c>
      <c r="H105" s="20"/>
      <c r="I105" s="20"/>
      <c r="J105" s="19" t="s">
        <v>240</v>
      </c>
      <c r="K105" s="38" t="s">
        <v>365</v>
      </c>
      <c r="L105" s="38"/>
      <c r="M105" s="20"/>
      <c r="N105" s="20"/>
      <c r="O105" s="70" t="s">
        <v>45</v>
      </c>
      <c r="P105" s="70" t="s">
        <v>366</v>
      </c>
      <c r="Q105" s="37" t="s">
        <v>367</v>
      </c>
      <c r="R105" s="20"/>
      <c r="S105" s="20" t="s">
        <v>278</v>
      </c>
      <c r="T105" s="19" t="s">
        <v>368</v>
      </c>
      <c r="U105" s="20"/>
      <c r="V105" s="20"/>
      <c r="W105" s="20"/>
      <c r="X105" s="20"/>
      <c r="Y105" s="20"/>
      <c r="Z105" s="20"/>
      <c r="AA105" s="54"/>
      <c r="AB105" s="45" t="s">
        <v>372</v>
      </c>
      <c r="AC105" s="49" t="s">
        <v>372</v>
      </c>
      <c r="AD105" s="51" t="s">
        <v>237</v>
      </c>
      <c r="AE105" s="58" t="s">
        <v>370</v>
      </c>
      <c r="AF105" s="51" t="s">
        <v>142</v>
      </c>
    </row>
    <row r="106" spans="1:34" x14ac:dyDescent="0.25">
      <c r="A106" s="20" t="s">
        <v>225</v>
      </c>
      <c r="B106" s="35" t="s">
        <v>39</v>
      </c>
      <c r="C106" s="35" t="s">
        <v>226</v>
      </c>
      <c r="D106" s="20" t="s">
        <v>227</v>
      </c>
      <c r="E106" s="20" t="s">
        <v>363</v>
      </c>
      <c r="F106" s="20"/>
      <c r="G106" s="56" t="s">
        <v>373</v>
      </c>
      <c r="H106" s="20"/>
      <c r="I106" s="20"/>
      <c r="J106" s="19" t="s">
        <v>249</v>
      </c>
      <c r="K106" s="38" t="s">
        <v>365</v>
      </c>
      <c r="L106" s="38" t="s">
        <v>242</v>
      </c>
      <c r="M106" s="20"/>
      <c r="N106" s="20"/>
      <c r="O106" s="70" t="s">
        <v>45</v>
      </c>
      <c r="P106" s="70" t="s">
        <v>374</v>
      </c>
      <c r="Q106" s="37" t="s">
        <v>367</v>
      </c>
      <c r="R106" s="20"/>
      <c r="S106" s="20" t="s">
        <v>278</v>
      </c>
      <c r="T106" s="19" t="s">
        <v>368</v>
      </c>
      <c r="U106" s="20"/>
      <c r="V106" s="20"/>
      <c r="W106" s="20"/>
      <c r="X106" s="20"/>
      <c r="Y106" s="20"/>
      <c r="Z106" s="20"/>
      <c r="AA106" s="54"/>
      <c r="AB106" s="45" t="s">
        <v>369</v>
      </c>
      <c r="AC106" s="49" t="s">
        <v>369</v>
      </c>
      <c r="AD106" s="51" t="s">
        <v>273</v>
      </c>
      <c r="AE106" s="58" t="s">
        <v>370</v>
      </c>
      <c r="AF106" s="51" t="s">
        <v>375</v>
      </c>
      <c r="AH106" s="75" t="s">
        <v>113</v>
      </c>
    </row>
    <row r="107" spans="1:34" x14ac:dyDescent="0.25">
      <c r="A107" s="20" t="s">
        <v>225</v>
      </c>
      <c r="B107" s="35" t="s">
        <v>39</v>
      </c>
      <c r="C107" s="35" t="s">
        <v>226</v>
      </c>
      <c r="D107" s="20" t="s">
        <v>227</v>
      </c>
      <c r="E107" s="20" t="s">
        <v>363</v>
      </c>
      <c r="F107" s="20"/>
      <c r="G107" s="56" t="s">
        <v>376</v>
      </c>
      <c r="H107" s="20"/>
      <c r="I107" s="20"/>
      <c r="J107" s="19" t="s">
        <v>255</v>
      </c>
      <c r="K107" s="38" t="s">
        <v>365</v>
      </c>
      <c r="L107" s="38"/>
      <c r="M107" s="20"/>
      <c r="N107" s="20"/>
      <c r="O107" s="70" t="s">
        <v>45</v>
      </c>
      <c r="P107" s="70" t="s">
        <v>374</v>
      </c>
      <c r="Q107" s="37" t="s">
        <v>367</v>
      </c>
      <c r="R107" s="20"/>
      <c r="S107" s="20" t="s">
        <v>278</v>
      </c>
      <c r="T107" s="19" t="s">
        <v>368</v>
      </c>
      <c r="U107" s="20"/>
      <c r="V107" s="20"/>
      <c r="W107" s="20"/>
      <c r="X107" s="20"/>
      <c r="Y107" s="20"/>
      <c r="Z107" s="20"/>
      <c r="AA107" s="54"/>
      <c r="AB107" s="45" t="s">
        <v>372</v>
      </c>
      <c r="AC107" s="49" t="s">
        <v>372</v>
      </c>
      <c r="AD107" s="51" t="s">
        <v>273</v>
      </c>
      <c r="AE107" s="58" t="s">
        <v>370</v>
      </c>
      <c r="AF107" s="51" t="s">
        <v>377</v>
      </c>
    </row>
    <row r="108" spans="1:34" x14ac:dyDescent="0.25">
      <c r="A108" s="20" t="s">
        <v>225</v>
      </c>
      <c r="B108" s="35" t="s">
        <v>39</v>
      </c>
      <c r="C108" s="35" t="s">
        <v>226</v>
      </c>
      <c r="D108" s="20" t="s">
        <v>227</v>
      </c>
      <c r="E108" s="20" t="s">
        <v>363</v>
      </c>
      <c r="F108" s="20"/>
      <c r="G108" s="56" t="s">
        <v>378</v>
      </c>
      <c r="H108" s="20"/>
      <c r="I108" s="20"/>
      <c r="J108" s="19" t="s">
        <v>261</v>
      </c>
      <c r="K108" s="38" t="s">
        <v>365</v>
      </c>
      <c r="L108" s="38" t="s">
        <v>266</v>
      </c>
      <c r="M108" s="20"/>
      <c r="N108" s="20"/>
      <c r="O108" s="70" t="s">
        <v>45</v>
      </c>
      <c r="P108" s="70" t="s">
        <v>366</v>
      </c>
      <c r="Q108" s="37" t="s">
        <v>367</v>
      </c>
      <c r="R108" s="20"/>
      <c r="S108" s="20" t="s">
        <v>278</v>
      </c>
      <c r="T108" s="19" t="s">
        <v>368</v>
      </c>
      <c r="U108" s="20"/>
      <c r="V108" s="20"/>
      <c r="W108" s="20"/>
      <c r="X108" s="20"/>
      <c r="Y108" s="20"/>
      <c r="Z108" s="20"/>
      <c r="AA108" s="54"/>
      <c r="AB108" s="45" t="s">
        <v>379</v>
      </c>
      <c r="AC108" s="49" t="s">
        <v>379</v>
      </c>
      <c r="AD108" s="51" t="s">
        <v>237</v>
      </c>
      <c r="AE108" s="42"/>
      <c r="AF108" s="51"/>
      <c r="AH108" s="75"/>
    </row>
    <row r="109" spans="1:34" x14ac:dyDescent="0.25">
      <c r="A109" s="20" t="s">
        <v>225</v>
      </c>
      <c r="B109" s="35" t="s">
        <v>39</v>
      </c>
      <c r="C109" s="35" t="s">
        <v>226</v>
      </c>
      <c r="D109" s="20" t="s">
        <v>227</v>
      </c>
      <c r="E109" s="20" t="s">
        <v>363</v>
      </c>
      <c r="F109" s="20"/>
      <c r="G109" s="56" t="s">
        <v>380</v>
      </c>
      <c r="H109" s="20"/>
      <c r="I109" s="20"/>
      <c r="J109" s="19" t="s">
        <v>265</v>
      </c>
      <c r="K109" s="38"/>
      <c r="L109" s="38" t="s">
        <v>381</v>
      </c>
      <c r="M109" s="20"/>
      <c r="N109" s="20"/>
      <c r="O109" s="70" t="s">
        <v>45</v>
      </c>
      <c r="P109" s="70" t="s">
        <v>277</v>
      </c>
      <c r="Q109" s="37" t="s">
        <v>322</v>
      </c>
      <c r="R109" s="20"/>
      <c r="S109" s="20" t="s">
        <v>278</v>
      </c>
      <c r="T109" s="19" t="s">
        <v>323</v>
      </c>
      <c r="U109" s="20"/>
      <c r="V109" s="20"/>
      <c r="W109" s="20"/>
      <c r="X109" s="20"/>
      <c r="Y109" s="20"/>
      <c r="Z109" s="20"/>
      <c r="AA109" s="54"/>
      <c r="AB109" s="45" t="s">
        <v>382</v>
      </c>
      <c r="AC109" s="49" t="s">
        <v>382</v>
      </c>
      <c r="AD109" s="55" t="s">
        <v>237</v>
      </c>
      <c r="AE109" s="42"/>
      <c r="AF109" s="51"/>
    </row>
    <row r="110" spans="1:34" x14ac:dyDescent="0.25">
      <c r="A110" s="20" t="s">
        <v>225</v>
      </c>
      <c r="B110" s="35" t="s">
        <v>39</v>
      </c>
      <c r="C110" s="35" t="s">
        <v>226</v>
      </c>
      <c r="D110" s="20" t="s">
        <v>227</v>
      </c>
      <c r="E110" s="20" t="s">
        <v>363</v>
      </c>
      <c r="F110" s="20"/>
      <c r="G110" s="56" t="s">
        <v>383</v>
      </c>
      <c r="H110" s="20"/>
      <c r="I110" s="20"/>
      <c r="J110" s="19" t="s">
        <v>269</v>
      </c>
      <c r="K110" s="38" t="s">
        <v>365</v>
      </c>
      <c r="L110" s="38" t="s">
        <v>266</v>
      </c>
      <c r="M110" s="20"/>
      <c r="N110" s="20"/>
      <c r="O110" s="70" t="s">
        <v>45</v>
      </c>
      <c r="P110" s="70" t="s">
        <v>374</v>
      </c>
      <c r="Q110" s="37" t="s">
        <v>367</v>
      </c>
      <c r="R110" s="20"/>
      <c r="S110" s="20" t="s">
        <v>278</v>
      </c>
      <c r="T110" s="19" t="s">
        <v>368</v>
      </c>
      <c r="U110" s="20"/>
      <c r="V110" s="20"/>
      <c r="W110" s="20"/>
      <c r="X110" s="20"/>
      <c r="Y110" s="20"/>
      <c r="Z110" s="20"/>
      <c r="AA110" s="54"/>
      <c r="AB110" s="45" t="s">
        <v>379</v>
      </c>
      <c r="AC110" s="49" t="s">
        <v>379</v>
      </c>
      <c r="AD110" s="51" t="s">
        <v>273</v>
      </c>
      <c r="AE110" s="42"/>
      <c r="AF110" s="51"/>
    </row>
    <row r="111" spans="1:34" x14ac:dyDescent="0.25">
      <c r="A111" s="22" t="s">
        <v>225</v>
      </c>
      <c r="B111" s="36" t="s">
        <v>39</v>
      </c>
      <c r="C111" s="36" t="s">
        <v>226</v>
      </c>
      <c r="D111" s="22" t="s">
        <v>227</v>
      </c>
      <c r="E111" s="22" t="s">
        <v>363</v>
      </c>
      <c r="F111" s="22"/>
      <c r="G111" s="57" t="s">
        <v>384</v>
      </c>
      <c r="H111" s="22"/>
      <c r="I111" s="22"/>
      <c r="J111" s="31" t="s">
        <v>275</v>
      </c>
      <c r="K111" s="39"/>
      <c r="L111" s="39" t="s">
        <v>385</v>
      </c>
      <c r="M111" s="22"/>
      <c r="N111" s="22"/>
      <c r="O111" s="71" t="s">
        <v>45</v>
      </c>
      <c r="P111" s="71" t="s">
        <v>277</v>
      </c>
      <c r="Q111" s="40" t="s">
        <v>327</v>
      </c>
      <c r="R111" s="22"/>
      <c r="S111" s="22" t="s">
        <v>278</v>
      </c>
      <c r="T111" s="31" t="s">
        <v>323</v>
      </c>
      <c r="U111" s="22"/>
      <c r="V111" s="22"/>
      <c r="W111" s="22"/>
      <c r="X111" s="22"/>
      <c r="Y111" s="22"/>
      <c r="Z111" s="22"/>
      <c r="AA111" s="54"/>
      <c r="AB111" s="45" t="s">
        <v>382</v>
      </c>
      <c r="AC111" s="49" t="s">
        <v>382</v>
      </c>
      <c r="AD111" s="55" t="s">
        <v>273</v>
      </c>
      <c r="AE111" s="42"/>
      <c r="AF111" s="51"/>
    </row>
    <row r="112" spans="1:34" x14ac:dyDescent="0.25">
      <c r="A112" s="20" t="s">
        <v>386</v>
      </c>
      <c r="B112" s="35" t="s">
        <v>39</v>
      </c>
      <c r="C112" s="35" t="s">
        <v>387</v>
      </c>
      <c r="D112" s="20" t="s">
        <v>388</v>
      </c>
      <c r="E112" s="20" t="s">
        <v>389</v>
      </c>
      <c r="F112" s="20"/>
      <c r="G112" s="56" t="s">
        <v>390</v>
      </c>
      <c r="H112" s="20"/>
      <c r="I112" s="20"/>
      <c r="J112" s="19" t="s">
        <v>230</v>
      </c>
      <c r="K112" s="20" t="s">
        <v>391</v>
      </c>
      <c r="L112" s="28" t="s">
        <v>300</v>
      </c>
      <c r="M112" s="20"/>
      <c r="N112" s="20"/>
      <c r="O112" s="70" t="s">
        <v>45</v>
      </c>
      <c r="P112" s="70" t="s">
        <v>277</v>
      </c>
      <c r="Q112" s="28" t="s">
        <v>301</v>
      </c>
      <c r="R112" s="20"/>
      <c r="S112" s="20" t="s">
        <v>278</v>
      </c>
      <c r="T112" s="20" t="s">
        <v>392</v>
      </c>
      <c r="U112" s="20"/>
      <c r="V112" s="20"/>
      <c r="W112" s="20"/>
      <c r="X112" s="20"/>
      <c r="Y112" s="20"/>
      <c r="Z112" s="20"/>
      <c r="AA112" s="54"/>
      <c r="AB112" s="45" t="s">
        <v>393</v>
      </c>
      <c r="AC112" s="49" t="s">
        <v>393</v>
      </c>
      <c r="AD112" s="51" t="s">
        <v>273</v>
      </c>
      <c r="AE112" s="42" t="s">
        <v>279</v>
      </c>
      <c r="AF112" s="51" t="s">
        <v>108</v>
      </c>
      <c r="AG112" t="s">
        <v>85</v>
      </c>
    </row>
    <row r="113" spans="1:32" x14ac:dyDescent="0.25">
      <c r="A113" s="20" t="s">
        <v>386</v>
      </c>
      <c r="B113" s="35" t="s">
        <v>39</v>
      </c>
      <c r="C113" s="35" t="s">
        <v>387</v>
      </c>
      <c r="D113" s="20" t="s">
        <v>388</v>
      </c>
      <c r="E113" s="20" t="s">
        <v>389</v>
      </c>
      <c r="F113" s="20"/>
      <c r="G113" s="56" t="s">
        <v>394</v>
      </c>
      <c r="H113" s="20"/>
      <c r="I113" s="20"/>
      <c r="J113" s="19" t="s">
        <v>240</v>
      </c>
      <c r="K113" s="20" t="s">
        <v>395</v>
      </c>
      <c r="L113" s="20" t="s">
        <v>396</v>
      </c>
      <c r="M113" s="20"/>
      <c r="N113" s="20"/>
      <c r="O113" s="70" t="s">
        <v>45</v>
      </c>
      <c r="P113" s="70" t="s">
        <v>277</v>
      </c>
      <c r="Q113" s="37" t="s">
        <v>304</v>
      </c>
      <c r="R113" s="20"/>
      <c r="S113" s="20" t="s">
        <v>278</v>
      </c>
      <c r="T113" s="20" t="s">
        <v>305</v>
      </c>
      <c r="U113" s="20"/>
      <c r="V113" s="20"/>
      <c r="W113" s="20"/>
      <c r="X113" s="20"/>
      <c r="Y113" s="20"/>
      <c r="Z113" s="20"/>
      <c r="AA113" s="54"/>
      <c r="AB113" s="45" t="s">
        <v>393</v>
      </c>
      <c r="AC113" s="49" t="s">
        <v>393</v>
      </c>
      <c r="AD113" s="51" t="s">
        <v>75</v>
      </c>
      <c r="AE113" s="42" t="s">
        <v>279</v>
      </c>
      <c r="AF113" s="51" t="s">
        <v>113</v>
      </c>
    </row>
    <row r="114" spans="1:32" x14ac:dyDescent="0.25">
      <c r="A114" s="20" t="s">
        <v>386</v>
      </c>
      <c r="B114" s="35" t="s">
        <v>39</v>
      </c>
      <c r="C114" s="35" t="s">
        <v>387</v>
      </c>
      <c r="D114" s="20" t="s">
        <v>388</v>
      </c>
      <c r="E114" s="20" t="s">
        <v>389</v>
      </c>
      <c r="F114" s="20"/>
      <c r="G114" s="56" t="s">
        <v>397</v>
      </c>
      <c r="H114" s="20"/>
      <c r="I114" s="20"/>
      <c r="J114" s="19" t="s">
        <v>249</v>
      </c>
      <c r="K114" s="38" t="s">
        <v>365</v>
      </c>
      <c r="L114" s="38" t="s">
        <v>398</v>
      </c>
      <c r="M114" s="20"/>
      <c r="N114" s="20"/>
      <c r="O114" s="70" t="s">
        <v>45</v>
      </c>
      <c r="P114" s="70" t="s">
        <v>277</v>
      </c>
      <c r="Q114" s="28" t="s">
        <v>399</v>
      </c>
      <c r="R114" s="20"/>
      <c r="S114" s="20" t="s">
        <v>278</v>
      </c>
      <c r="T114" s="20" t="s">
        <v>392</v>
      </c>
      <c r="U114" s="20"/>
      <c r="V114" s="20"/>
      <c r="W114" s="20"/>
      <c r="X114" s="20"/>
      <c r="Y114" s="20"/>
      <c r="Z114" s="20"/>
      <c r="AA114" s="54"/>
      <c r="AB114" s="45" t="s">
        <v>400</v>
      </c>
      <c r="AC114" s="49" t="s">
        <v>400</v>
      </c>
      <c r="AD114" s="55" t="s">
        <v>237</v>
      </c>
      <c r="AE114" s="42"/>
      <c r="AF114" s="51"/>
    </row>
    <row r="115" spans="1:32" x14ac:dyDescent="0.25">
      <c r="A115" s="22" t="s">
        <v>386</v>
      </c>
      <c r="B115" s="36" t="s">
        <v>39</v>
      </c>
      <c r="C115" s="36" t="s">
        <v>387</v>
      </c>
      <c r="D115" s="22" t="s">
        <v>388</v>
      </c>
      <c r="E115" s="22" t="s">
        <v>389</v>
      </c>
      <c r="F115" s="22"/>
      <c r="G115" s="57" t="s">
        <v>401</v>
      </c>
      <c r="H115" s="22"/>
      <c r="I115" s="22"/>
      <c r="J115" s="31" t="s">
        <v>255</v>
      </c>
      <c r="K115" s="39" t="s">
        <v>365</v>
      </c>
      <c r="L115" s="39" t="s">
        <v>398</v>
      </c>
      <c r="M115" s="22"/>
      <c r="N115" s="22"/>
      <c r="O115" s="71" t="s">
        <v>45</v>
      </c>
      <c r="P115" s="71" t="s">
        <v>277</v>
      </c>
      <c r="Q115" s="29" t="s">
        <v>402</v>
      </c>
      <c r="R115" s="22"/>
      <c r="S115" s="22" t="s">
        <v>278</v>
      </c>
      <c r="T115" s="22" t="s">
        <v>392</v>
      </c>
      <c r="U115" s="22"/>
      <c r="V115" s="22"/>
      <c r="W115" s="22"/>
      <c r="X115" s="22"/>
      <c r="Y115" s="22"/>
      <c r="Z115" s="22"/>
      <c r="AA115" s="54"/>
      <c r="AB115" s="45" t="s">
        <v>400</v>
      </c>
      <c r="AC115" s="49" t="s">
        <v>400</v>
      </c>
      <c r="AD115" s="55" t="s">
        <v>273</v>
      </c>
      <c r="AE115" s="42"/>
      <c r="AF115" s="51"/>
    </row>
    <row r="116" spans="1:32" x14ac:dyDescent="0.25">
      <c r="A116" s="20" t="s">
        <v>386</v>
      </c>
      <c r="B116" s="35" t="s">
        <v>39</v>
      </c>
      <c r="C116" s="35" t="s">
        <v>387</v>
      </c>
      <c r="D116" s="20" t="s">
        <v>388</v>
      </c>
      <c r="E116" s="20" t="s">
        <v>389</v>
      </c>
      <c r="F116" s="20"/>
      <c r="G116" s="56" t="s">
        <v>403</v>
      </c>
      <c r="H116" s="20"/>
      <c r="I116" s="20"/>
      <c r="J116" s="19" t="s">
        <v>230</v>
      </c>
      <c r="K116" s="20" t="s">
        <v>395</v>
      </c>
      <c r="L116" s="28" t="s">
        <v>404</v>
      </c>
      <c r="M116" s="20"/>
      <c r="N116" s="20"/>
      <c r="O116" s="70" t="s">
        <v>45</v>
      </c>
      <c r="P116" s="70" t="s">
        <v>277</v>
      </c>
      <c r="Q116" s="28" t="s">
        <v>282</v>
      </c>
      <c r="R116" s="20"/>
      <c r="S116" s="20" t="s">
        <v>278</v>
      </c>
      <c r="T116" s="20" t="s">
        <v>392</v>
      </c>
      <c r="U116" s="20"/>
      <c r="V116" s="20"/>
      <c r="W116" s="20"/>
      <c r="X116" s="20"/>
      <c r="Y116" s="20"/>
      <c r="Z116" s="20"/>
      <c r="AA116" s="54"/>
      <c r="AB116" s="45" t="s">
        <v>393</v>
      </c>
      <c r="AC116" s="49" t="s">
        <v>393</v>
      </c>
      <c r="AD116" s="51" t="s">
        <v>153</v>
      </c>
      <c r="AE116" s="58" t="s">
        <v>279</v>
      </c>
      <c r="AF116" s="51" t="s">
        <v>119</v>
      </c>
    </row>
    <row r="117" spans="1:32" x14ac:dyDescent="0.25">
      <c r="A117" s="20" t="s">
        <v>386</v>
      </c>
      <c r="B117" s="35" t="s">
        <v>39</v>
      </c>
      <c r="C117" s="35" t="s">
        <v>387</v>
      </c>
      <c r="D117" s="20" t="s">
        <v>388</v>
      </c>
      <c r="E117" s="20" t="s">
        <v>389</v>
      </c>
      <c r="F117" s="20"/>
      <c r="G117" s="56" t="s">
        <v>405</v>
      </c>
      <c r="H117" s="20"/>
      <c r="I117" s="20"/>
      <c r="J117" s="19" t="s">
        <v>240</v>
      </c>
      <c r="K117" s="20"/>
      <c r="L117" s="20"/>
      <c r="M117" s="20"/>
      <c r="N117" s="20"/>
      <c r="O117" s="70" t="s">
        <v>45</v>
      </c>
      <c r="P117" s="70" t="s">
        <v>277</v>
      </c>
      <c r="Q117" s="37"/>
      <c r="R117" s="20"/>
      <c r="S117" s="20" t="s">
        <v>278</v>
      </c>
      <c r="T117" s="20" t="s">
        <v>305</v>
      </c>
      <c r="U117" s="20"/>
      <c r="V117" s="20"/>
      <c r="W117" s="20"/>
      <c r="X117" s="20"/>
      <c r="Y117" s="20"/>
      <c r="Z117" s="20"/>
      <c r="AA117" s="54"/>
      <c r="AB117" s="45"/>
      <c r="AC117" s="49"/>
      <c r="AD117" s="51"/>
      <c r="AE117" s="42"/>
      <c r="AF117" s="51"/>
    </row>
    <row r="118" spans="1:32" x14ac:dyDescent="0.25">
      <c r="A118" s="20" t="s">
        <v>386</v>
      </c>
      <c r="B118" s="35" t="s">
        <v>39</v>
      </c>
      <c r="C118" s="35" t="s">
        <v>387</v>
      </c>
      <c r="D118" s="20" t="s">
        <v>388</v>
      </c>
      <c r="E118" s="20" t="s">
        <v>389</v>
      </c>
      <c r="F118" s="20"/>
      <c r="G118" s="56" t="s">
        <v>406</v>
      </c>
      <c r="H118" s="20"/>
      <c r="I118" s="20"/>
      <c r="J118" s="19" t="s">
        <v>249</v>
      </c>
      <c r="K118" s="38"/>
      <c r="L118" s="38"/>
      <c r="M118" s="20"/>
      <c r="N118" s="20"/>
      <c r="O118" s="70" t="s">
        <v>45</v>
      </c>
      <c r="P118" s="70" t="s">
        <v>277</v>
      </c>
      <c r="Q118" s="28"/>
      <c r="R118" s="20"/>
      <c r="S118" s="20" t="s">
        <v>278</v>
      </c>
      <c r="T118" s="20" t="s">
        <v>392</v>
      </c>
      <c r="U118" s="20"/>
      <c r="V118" s="20"/>
      <c r="W118" s="20"/>
      <c r="X118" s="20"/>
      <c r="Y118" s="20"/>
      <c r="Z118" s="20"/>
      <c r="AA118" s="54"/>
      <c r="AB118" s="45"/>
      <c r="AC118" s="49"/>
      <c r="AD118" s="55"/>
      <c r="AE118" s="42"/>
      <c r="AF118" s="51"/>
    </row>
    <row r="119" spans="1:32" x14ac:dyDescent="0.25">
      <c r="A119" s="22" t="s">
        <v>386</v>
      </c>
      <c r="B119" s="36" t="s">
        <v>39</v>
      </c>
      <c r="C119" s="36" t="s">
        <v>387</v>
      </c>
      <c r="D119" s="22" t="s">
        <v>388</v>
      </c>
      <c r="E119" s="22" t="s">
        <v>389</v>
      </c>
      <c r="F119" s="22"/>
      <c r="G119" s="57" t="s">
        <v>407</v>
      </c>
      <c r="H119" s="22"/>
      <c r="I119" s="22"/>
      <c r="J119" s="31" t="s">
        <v>255</v>
      </c>
      <c r="K119" s="39"/>
      <c r="L119" s="39"/>
      <c r="M119" s="22"/>
      <c r="N119" s="22"/>
      <c r="O119" s="71" t="s">
        <v>45</v>
      </c>
      <c r="P119" s="71" t="s">
        <v>277</v>
      </c>
      <c r="Q119" s="29"/>
      <c r="R119" s="22"/>
      <c r="S119" s="22" t="s">
        <v>278</v>
      </c>
      <c r="T119" s="22" t="s">
        <v>392</v>
      </c>
      <c r="U119" s="22"/>
      <c r="V119" s="22"/>
      <c r="W119" s="22"/>
      <c r="X119" s="22"/>
      <c r="Y119" s="22"/>
      <c r="Z119" s="22"/>
      <c r="AA119" s="54"/>
      <c r="AB119" s="45"/>
      <c r="AC119" s="49"/>
      <c r="AD119" s="51"/>
      <c r="AE119" s="42"/>
      <c r="AF119" s="51"/>
    </row>
    <row r="120" spans="1:32" x14ac:dyDescent="0.25">
      <c r="A120" s="18" t="s">
        <v>408</v>
      </c>
      <c r="B120" s="18" t="s">
        <v>409</v>
      </c>
      <c r="C120" s="18" t="s">
        <v>410</v>
      </c>
      <c r="D120" s="18" t="s">
        <v>411</v>
      </c>
      <c r="E120" s="30" t="s">
        <v>412</v>
      </c>
      <c r="F120" s="18" t="s">
        <v>413</v>
      </c>
      <c r="G120" s="30"/>
      <c r="H120" s="18"/>
      <c r="I120" s="18" t="s">
        <v>414</v>
      </c>
      <c r="J120" s="18"/>
      <c r="K120" s="18" t="s">
        <v>70</v>
      </c>
      <c r="L120" s="18"/>
      <c r="M120" s="18"/>
      <c r="N120" s="18"/>
      <c r="O120" s="72" t="s">
        <v>45</v>
      </c>
      <c r="P120" s="72" t="s">
        <v>415</v>
      </c>
      <c r="Q120" s="18" t="s">
        <v>412</v>
      </c>
      <c r="R120" s="18" t="s">
        <v>72</v>
      </c>
      <c r="S120" s="18" t="s">
        <v>351</v>
      </c>
      <c r="T120" s="30" t="s">
        <v>416</v>
      </c>
      <c r="U120" s="18" t="s">
        <v>48</v>
      </c>
      <c r="V120" s="18" t="str">
        <f>$V$2&amp;$F$2&amp;"."&amp;F120</f>
        <v>192.168.51.31</v>
      </c>
      <c r="W120" s="18" t="str">
        <f>LOWER("N"&amp;TEXT(F120,"0000")&amp;"-"&amp;SUBSTITUTE(MID(P120,2,20)&amp;Q120,".","-"))</f>
        <v>n0031-sm73-xns1</v>
      </c>
      <c r="X120" s="18"/>
      <c r="Y120" s="18"/>
      <c r="Z120" s="18"/>
      <c r="AA120" s="54"/>
      <c r="AB120" s="45" t="s">
        <v>72</v>
      </c>
      <c r="AC120" s="49" t="s">
        <v>72</v>
      </c>
      <c r="AD120" s="51" t="s">
        <v>160</v>
      </c>
      <c r="AE120" s="42" t="s">
        <v>63</v>
      </c>
      <c r="AF120" s="55" t="s">
        <v>417</v>
      </c>
    </row>
    <row r="121" spans="1:32" x14ac:dyDescent="0.25">
      <c r="A121" s="20" t="s">
        <v>418</v>
      </c>
      <c r="B121" s="20" t="s">
        <v>409</v>
      </c>
      <c r="C121" s="20" t="s">
        <v>410</v>
      </c>
      <c r="D121" s="20" t="s">
        <v>411</v>
      </c>
      <c r="E121" s="20" t="s">
        <v>412</v>
      </c>
      <c r="F121" s="20"/>
      <c r="G121" s="56" t="s">
        <v>419</v>
      </c>
      <c r="H121" s="20" t="s">
        <v>83</v>
      </c>
      <c r="I121" s="20" t="s">
        <v>420</v>
      </c>
      <c r="J121" s="20" t="s">
        <v>421</v>
      </c>
      <c r="K121" s="20"/>
      <c r="L121" s="20"/>
      <c r="M121" s="20"/>
      <c r="N121" s="20"/>
      <c r="O121" s="70" t="s">
        <v>45</v>
      </c>
      <c r="P121" s="28"/>
      <c r="Q121" s="28"/>
      <c r="R121" s="20"/>
      <c r="S121" s="20" t="s">
        <v>351</v>
      </c>
      <c r="T121" s="28" t="s">
        <v>352</v>
      </c>
      <c r="U121" s="20"/>
      <c r="V121" s="20"/>
      <c r="W121" s="20"/>
      <c r="X121" s="20"/>
      <c r="Y121" s="20"/>
      <c r="Z121" s="20"/>
      <c r="AA121" s="54"/>
      <c r="AB121" s="45"/>
      <c r="AC121" s="49"/>
      <c r="AD121" s="51"/>
      <c r="AE121" s="42"/>
      <c r="AF121" s="51"/>
    </row>
    <row r="122" spans="1:32" x14ac:dyDescent="0.25">
      <c r="A122" s="20" t="s">
        <v>418</v>
      </c>
      <c r="B122" s="20" t="s">
        <v>409</v>
      </c>
      <c r="C122" s="20" t="s">
        <v>410</v>
      </c>
      <c r="D122" s="20" t="s">
        <v>411</v>
      </c>
      <c r="E122" s="20" t="s">
        <v>412</v>
      </c>
      <c r="F122" s="20"/>
      <c r="G122" s="56" t="s">
        <v>422</v>
      </c>
      <c r="H122" s="20" t="s">
        <v>83</v>
      </c>
      <c r="I122" s="20" t="s">
        <v>420</v>
      </c>
      <c r="J122" s="20" t="s">
        <v>423</v>
      </c>
      <c r="K122" s="20"/>
      <c r="L122" s="20"/>
      <c r="M122" s="20"/>
      <c r="N122" s="20"/>
      <c r="O122" s="70" t="s">
        <v>45</v>
      </c>
      <c r="P122" s="28"/>
      <c r="Q122" s="28"/>
      <c r="R122" s="20"/>
      <c r="S122" s="20" t="s">
        <v>351</v>
      </c>
      <c r="T122" s="20" t="s">
        <v>352</v>
      </c>
      <c r="U122" s="20"/>
      <c r="V122" s="20"/>
      <c r="W122" s="20"/>
      <c r="X122" s="20"/>
      <c r="Y122" s="20"/>
      <c r="Z122" s="20"/>
      <c r="AA122" s="54"/>
      <c r="AB122" s="45"/>
      <c r="AC122" s="49"/>
      <c r="AD122" s="51"/>
      <c r="AE122" s="42"/>
      <c r="AF122" s="51"/>
    </row>
    <row r="123" spans="1:32" x14ac:dyDescent="0.25">
      <c r="A123" s="20" t="s">
        <v>418</v>
      </c>
      <c r="B123" s="20" t="s">
        <v>409</v>
      </c>
      <c r="C123" s="20" t="s">
        <v>410</v>
      </c>
      <c r="D123" s="20" t="s">
        <v>411</v>
      </c>
      <c r="E123" s="20" t="s">
        <v>412</v>
      </c>
      <c r="F123" s="20"/>
      <c r="G123" s="56" t="s">
        <v>424</v>
      </c>
      <c r="H123" s="20" t="s">
        <v>83</v>
      </c>
      <c r="I123" s="20" t="s">
        <v>425</v>
      </c>
      <c r="J123" s="20" t="s">
        <v>421</v>
      </c>
      <c r="K123" s="20"/>
      <c r="L123" s="20"/>
      <c r="M123" s="20"/>
      <c r="N123" s="20"/>
      <c r="O123" s="70" t="s">
        <v>45</v>
      </c>
      <c r="P123" s="28"/>
      <c r="Q123" s="28"/>
      <c r="R123" s="20"/>
      <c r="S123" s="20" t="s">
        <v>351</v>
      </c>
      <c r="T123" s="20" t="s">
        <v>352</v>
      </c>
      <c r="U123" s="20"/>
      <c r="V123" s="20"/>
      <c r="W123" s="20"/>
      <c r="X123" s="20"/>
      <c r="Y123" s="20"/>
      <c r="Z123" s="20"/>
      <c r="AA123" s="54"/>
      <c r="AB123" s="45"/>
      <c r="AC123" s="49"/>
      <c r="AD123" s="51"/>
      <c r="AE123" s="42"/>
      <c r="AF123" s="51"/>
    </row>
    <row r="124" spans="1:32" x14ac:dyDescent="0.25">
      <c r="A124" s="20" t="s">
        <v>418</v>
      </c>
      <c r="B124" s="20" t="s">
        <v>409</v>
      </c>
      <c r="C124" s="20" t="s">
        <v>410</v>
      </c>
      <c r="D124" s="20" t="s">
        <v>411</v>
      </c>
      <c r="E124" s="20" t="s">
        <v>412</v>
      </c>
      <c r="F124" s="20"/>
      <c r="G124" s="56" t="s">
        <v>426</v>
      </c>
      <c r="H124" s="20" t="s">
        <v>83</v>
      </c>
      <c r="I124" s="20" t="s">
        <v>425</v>
      </c>
      <c r="J124" s="20" t="s">
        <v>423</v>
      </c>
      <c r="K124" s="20"/>
      <c r="L124" s="20"/>
      <c r="M124" s="20"/>
      <c r="N124" s="20"/>
      <c r="O124" s="70" t="s">
        <v>45</v>
      </c>
      <c r="P124" s="28"/>
      <c r="Q124" s="28"/>
      <c r="R124" s="20"/>
      <c r="S124" s="20" t="s">
        <v>351</v>
      </c>
      <c r="T124" s="20" t="s">
        <v>352</v>
      </c>
      <c r="U124" s="20"/>
      <c r="V124" s="20"/>
      <c r="W124" s="20"/>
      <c r="X124" s="20"/>
      <c r="Y124" s="20"/>
      <c r="Z124" s="20"/>
      <c r="AA124" s="54"/>
      <c r="AB124" s="45"/>
      <c r="AC124" s="49"/>
      <c r="AD124" s="51"/>
      <c r="AE124" s="42"/>
      <c r="AF124" s="51"/>
    </row>
    <row r="125" spans="1:32" x14ac:dyDescent="0.25">
      <c r="A125" s="20" t="s">
        <v>418</v>
      </c>
      <c r="B125" s="20" t="s">
        <v>409</v>
      </c>
      <c r="C125" s="20" t="s">
        <v>410</v>
      </c>
      <c r="D125" s="20" t="s">
        <v>411</v>
      </c>
      <c r="E125" s="20" t="s">
        <v>412</v>
      </c>
      <c r="F125" s="20"/>
      <c r="G125" s="56" t="s">
        <v>427</v>
      </c>
      <c r="H125" s="20" t="s">
        <v>83</v>
      </c>
      <c r="I125" s="20" t="s">
        <v>428</v>
      </c>
      <c r="J125" s="20" t="s">
        <v>421</v>
      </c>
      <c r="K125" s="20"/>
      <c r="L125" s="20"/>
      <c r="M125" s="20"/>
      <c r="N125" s="20"/>
      <c r="O125" s="70" t="s">
        <v>45</v>
      </c>
      <c r="P125" s="28"/>
      <c r="Q125" s="28"/>
      <c r="R125" s="20"/>
      <c r="S125" s="20" t="s">
        <v>351</v>
      </c>
      <c r="T125" s="20" t="s">
        <v>352</v>
      </c>
      <c r="U125" s="20"/>
      <c r="V125" s="20"/>
      <c r="W125" s="20"/>
      <c r="X125" s="20"/>
      <c r="Y125" s="20"/>
      <c r="Z125" s="20"/>
      <c r="AA125" s="54"/>
      <c r="AB125" s="45"/>
      <c r="AC125" s="49"/>
      <c r="AD125" s="51"/>
      <c r="AE125" s="42"/>
      <c r="AF125" s="51"/>
    </row>
    <row r="126" spans="1:32" x14ac:dyDescent="0.25">
      <c r="A126" s="20" t="s">
        <v>418</v>
      </c>
      <c r="B126" s="20" t="s">
        <v>409</v>
      </c>
      <c r="C126" s="20" t="s">
        <v>410</v>
      </c>
      <c r="D126" s="20" t="s">
        <v>411</v>
      </c>
      <c r="E126" s="20" t="s">
        <v>412</v>
      </c>
      <c r="F126" s="20"/>
      <c r="G126" s="56" t="s">
        <v>429</v>
      </c>
      <c r="H126" s="20" t="s">
        <v>83</v>
      </c>
      <c r="I126" s="20" t="s">
        <v>428</v>
      </c>
      <c r="J126" s="20" t="s">
        <v>423</v>
      </c>
      <c r="K126" s="20"/>
      <c r="L126" s="20"/>
      <c r="M126" s="20"/>
      <c r="N126" s="20"/>
      <c r="O126" s="70" t="s">
        <v>45</v>
      </c>
      <c r="P126" s="28"/>
      <c r="Q126" s="28"/>
      <c r="R126" s="20"/>
      <c r="S126" s="20" t="s">
        <v>351</v>
      </c>
      <c r="T126" s="20" t="s">
        <v>352</v>
      </c>
      <c r="U126" s="20"/>
      <c r="V126" s="20"/>
      <c r="W126" s="20"/>
      <c r="X126" s="20"/>
      <c r="Y126" s="20"/>
      <c r="Z126" s="20"/>
      <c r="AA126" s="54"/>
      <c r="AB126" s="45"/>
      <c r="AC126" s="49"/>
      <c r="AD126" s="51"/>
      <c r="AE126" s="42"/>
      <c r="AF126" s="51"/>
    </row>
    <row r="127" spans="1:32" x14ac:dyDescent="0.25">
      <c r="A127" s="20" t="s">
        <v>418</v>
      </c>
      <c r="B127" s="20" t="s">
        <v>409</v>
      </c>
      <c r="C127" s="20" t="s">
        <v>410</v>
      </c>
      <c r="D127" s="20" t="s">
        <v>411</v>
      </c>
      <c r="E127" s="20" t="s">
        <v>412</v>
      </c>
      <c r="F127" s="20"/>
      <c r="G127" s="56" t="s">
        <v>430</v>
      </c>
      <c r="H127" s="20" t="s">
        <v>83</v>
      </c>
      <c r="I127" s="20" t="s">
        <v>431</v>
      </c>
      <c r="J127" s="20" t="s">
        <v>421</v>
      </c>
      <c r="K127" s="20"/>
      <c r="L127" s="20"/>
      <c r="M127" s="20"/>
      <c r="N127" s="20"/>
      <c r="O127" s="70" t="s">
        <v>45</v>
      </c>
      <c r="P127" s="28"/>
      <c r="Q127" s="28"/>
      <c r="R127" s="20"/>
      <c r="S127" s="20" t="s">
        <v>351</v>
      </c>
      <c r="T127" s="20" t="s">
        <v>352</v>
      </c>
      <c r="U127" s="20"/>
      <c r="V127" s="20"/>
      <c r="W127" s="20"/>
      <c r="X127" s="20"/>
      <c r="Y127" s="20"/>
      <c r="Z127" s="20"/>
      <c r="AA127" s="54"/>
      <c r="AB127" s="45"/>
      <c r="AC127" s="49"/>
      <c r="AD127" s="51"/>
      <c r="AE127" s="42"/>
      <c r="AF127" s="51"/>
    </row>
    <row r="128" spans="1:32" x14ac:dyDescent="0.25">
      <c r="A128" s="20" t="s">
        <v>418</v>
      </c>
      <c r="B128" s="20" t="s">
        <v>409</v>
      </c>
      <c r="C128" s="20" t="s">
        <v>410</v>
      </c>
      <c r="D128" s="20" t="s">
        <v>411</v>
      </c>
      <c r="E128" s="20" t="s">
        <v>412</v>
      </c>
      <c r="F128" s="20"/>
      <c r="G128" s="56" t="s">
        <v>432</v>
      </c>
      <c r="H128" s="20" t="s">
        <v>83</v>
      </c>
      <c r="I128" s="20" t="s">
        <v>431</v>
      </c>
      <c r="J128" s="20" t="s">
        <v>423</v>
      </c>
      <c r="K128" s="20"/>
      <c r="L128" s="20"/>
      <c r="M128" s="20"/>
      <c r="N128" s="20"/>
      <c r="O128" s="70" t="s">
        <v>45</v>
      </c>
      <c r="P128" s="28"/>
      <c r="Q128" s="28"/>
      <c r="R128" s="20"/>
      <c r="S128" s="20" t="s">
        <v>351</v>
      </c>
      <c r="T128" s="20" t="s">
        <v>352</v>
      </c>
      <c r="U128" s="20"/>
      <c r="V128" s="20"/>
      <c r="W128" s="20"/>
      <c r="X128" s="20"/>
      <c r="Y128" s="20"/>
      <c r="Z128" s="20"/>
      <c r="AA128" s="54"/>
      <c r="AB128" s="45"/>
      <c r="AC128" s="49"/>
      <c r="AD128" s="51"/>
      <c r="AE128" s="42"/>
      <c r="AF128" s="51"/>
    </row>
    <row r="129" spans="1:32" x14ac:dyDescent="0.25">
      <c r="A129" s="20" t="s">
        <v>418</v>
      </c>
      <c r="B129" s="20" t="s">
        <v>409</v>
      </c>
      <c r="C129" s="20" t="s">
        <v>410</v>
      </c>
      <c r="D129" s="20" t="s">
        <v>411</v>
      </c>
      <c r="E129" s="20" t="s">
        <v>412</v>
      </c>
      <c r="F129" s="20"/>
      <c r="G129" s="56" t="s">
        <v>433</v>
      </c>
      <c r="H129" s="20" t="s">
        <v>83</v>
      </c>
      <c r="I129" s="20" t="s">
        <v>434</v>
      </c>
      <c r="J129" s="20" t="s">
        <v>421</v>
      </c>
      <c r="K129" s="20"/>
      <c r="L129" s="20"/>
      <c r="M129" s="20"/>
      <c r="N129" s="20"/>
      <c r="O129" s="70" t="s">
        <v>45</v>
      </c>
      <c r="P129" s="28"/>
      <c r="Q129" s="28"/>
      <c r="R129" s="20"/>
      <c r="S129" s="20" t="s">
        <v>351</v>
      </c>
      <c r="T129" s="20" t="s">
        <v>352</v>
      </c>
      <c r="U129" s="20"/>
      <c r="V129" s="20"/>
      <c r="W129" s="20"/>
      <c r="X129" s="20"/>
      <c r="Y129" s="20"/>
      <c r="Z129" s="20"/>
      <c r="AA129" s="54"/>
      <c r="AB129" s="45"/>
      <c r="AC129" s="49"/>
      <c r="AD129" s="51"/>
      <c r="AE129" s="42"/>
      <c r="AF129" s="51"/>
    </row>
    <row r="130" spans="1:32" x14ac:dyDescent="0.25">
      <c r="A130" s="20" t="s">
        <v>418</v>
      </c>
      <c r="B130" s="20" t="s">
        <v>409</v>
      </c>
      <c r="C130" s="20" t="s">
        <v>410</v>
      </c>
      <c r="D130" s="20" t="s">
        <v>411</v>
      </c>
      <c r="E130" s="20" t="s">
        <v>412</v>
      </c>
      <c r="F130" s="20"/>
      <c r="G130" s="56" t="s">
        <v>435</v>
      </c>
      <c r="H130" s="20" t="s">
        <v>83</v>
      </c>
      <c r="I130" s="20" t="s">
        <v>434</v>
      </c>
      <c r="J130" s="20" t="s">
        <v>423</v>
      </c>
      <c r="K130" s="20"/>
      <c r="L130" s="20"/>
      <c r="M130" s="20"/>
      <c r="N130" s="20"/>
      <c r="O130" s="70" t="s">
        <v>45</v>
      </c>
      <c r="P130" s="28"/>
      <c r="Q130" s="28"/>
      <c r="R130" s="20"/>
      <c r="S130" s="20" t="s">
        <v>351</v>
      </c>
      <c r="T130" s="20" t="s">
        <v>352</v>
      </c>
      <c r="U130" s="20"/>
      <c r="V130" s="20"/>
      <c r="W130" s="20"/>
      <c r="X130" s="20"/>
      <c r="Y130" s="20"/>
      <c r="Z130" s="20"/>
      <c r="AA130" s="54"/>
      <c r="AB130" s="45"/>
      <c r="AC130" s="49"/>
      <c r="AD130" s="51"/>
      <c r="AE130" s="42"/>
      <c r="AF130" s="51"/>
    </row>
    <row r="131" spans="1:32" x14ac:dyDescent="0.25">
      <c r="A131" s="20" t="s">
        <v>418</v>
      </c>
      <c r="B131" s="20" t="s">
        <v>409</v>
      </c>
      <c r="C131" s="20" t="s">
        <v>410</v>
      </c>
      <c r="D131" s="20" t="s">
        <v>411</v>
      </c>
      <c r="E131" s="20" t="s">
        <v>412</v>
      </c>
      <c r="F131" s="20"/>
      <c r="G131" s="56" t="s">
        <v>436</v>
      </c>
      <c r="H131" s="20" t="s">
        <v>83</v>
      </c>
      <c r="I131" s="20" t="s">
        <v>437</v>
      </c>
      <c r="J131" s="20" t="s">
        <v>421</v>
      </c>
      <c r="K131" s="20"/>
      <c r="L131" s="20"/>
      <c r="M131" s="20"/>
      <c r="N131" s="20"/>
      <c r="O131" s="70" t="s">
        <v>45</v>
      </c>
      <c r="P131" s="28"/>
      <c r="Q131" s="28"/>
      <c r="R131" s="20"/>
      <c r="S131" s="20" t="s">
        <v>351</v>
      </c>
      <c r="T131" s="20" t="s">
        <v>352</v>
      </c>
      <c r="U131" s="20"/>
      <c r="V131" s="20"/>
      <c r="W131" s="20"/>
      <c r="X131" s="20"/>
      <c r="Y131" s="20"/>
      <c r="Z131" s="20"/>
      <c r="AA131" s="54"/>
      <c r="AB131" s="45"/>
      <c r="AC131" s="49"/>
      <c r="AD131" s="51"/>
      <c r="AE131" s="42"/>
      <c r="AF131" s="51"/>
    </row>
    <row r="132" spans="1:32" x14ac:dyDescent="0.25">
      <c r="A132" s="20" t="s">
        <v>418</v>
      </c>
      <c r="B132" s="20" t="s">
        <v>409</v>
      </c>
      <c r="C132" s="20" t="s">
        <v>410</v>
      </c>
      <c r="D132" s="20" t="s">
        <v>411</v>
      </c>
      <c r="E132" s="20" t="s">
        <v>412</v>
      </c>
      <c r="F132" s="20"/>
      <c r="G132" s="56" t="s">
        <v>438</v>
      </c>
      <c r="H132" s="20" t="s">
        <v>83</v>
      </c>
      <c r="I132" s="20" t="s">
        <v>437</v>
      </c>
      <c r="J132" s="20" t="s">
        <v>423</v>
      </c>
      <c r="K132" s="20"/>
      <c r="L132" s="20"/>
      <c r="M132" s="20"/>
      <c r="N132" s="20"/>
      <c r="O132" s="70" t="s">
        <v>45</v>
      </c>
      <c r="P132" s="28"/>
      <c r="Q132" s="28"/>
      <c r="R132" s="20"/>
      <c r="S132" s="20" t="s">
        <v>351</v>
      </c>
      <c r="T132" s="20" t="s">
        <v>352</v>
      </c>
      <c r="U132" s="20"/>
      <c r="V132" s="20"/>
      <c r="W132" s="20"/>
      <c r="X132" s="20"/>
      <c r="Y132" s="20"/>
      <c r="Z132" s="20"/>
      <c r="AA132" s="54"/>
      <c r="AB132" s="45"/>
      <c r="AC132" s="49"/>
      <c r="AD132" s="51"/>
      <c r="AE132" s="42"/>
      <c r="AF132" s="51"/>
    </row>
    <row r="133" spans="1:32" x14ac:dyDescent="0.25">
      <c r="A133" s="20" t="s">
        <v>418</v>
      </c>
      <c r="B133" s="20" t="s">
        <v>409</v>
      </c>
      <c r="C133" s="20" t="s">
        <v>410</v>
      </c>
      <c r="D133" s="20" t="s">
        <v>411</v>
      </c>
      <c r="E133" s="20" t="s">
        <v>412</v>
      </c>
      <c r="F133" s="20"/>
      <c r="G133" s="56" t="s">
        <v>439</v>
      </c>
      <c r="H133" s="20" t="s">
        <v>83</v>
      </c>
      <c r="I133" s="20" t="s">
        <v>440</v>
      </c>
      <c r="J133" s="20" t="s">
        <v>421</v>
      </c>
      <c r="K133" s="20"/>
      <c r="L133" s="20"/>
      <c r="M133" s="20"/>
      <c r="N133" s="20"/>
      <c r="O133" s="70" t="s">
        <v>45</v>
      </c>
      <c r="P133" s="28"/>
      <c r="Q133" s="28"/>
      <c r="R133" s="20"/>
      <c r="S133" s="20" t="s">
        <v>351</v>
      </c>
      <c r="T133" s="20" t="s">
        <v>352</v>
      </c>
      <c r="U133" s="20"/>
      <c r="V133" s="20"/>
      <c r="W133" s="20"/>
      <c r="X133" s="20"/>
      <c r="Y133" s="20"/>
      <c r="Z133" s="20"/>
      <c r="AA133" s="54"/>
      <c r="AB133" s="45"/>
      <c r="AC133" s="49"/>
      <c r="AD133" s="51"/>
      <c r="AE133" s="42"/>
      <c r="AF133" s="51"/>
    </row>
    <row r="134" spans="1:32" x14ac:dyDescent="0.25">
      <c r="A134" s="20" t="s">
        <v>418</v>
      </c>
      <c r="B134" s="20" t="s">
        <v>409</v>
      </c>
      <c r="C134" s="20" t="s">
        <v>410</v>
      </c>
      <c r="D134" s="20" t="s">
        <v>411</v>
      </c>
      <c r="E134" s="20" t="s">
        <v>412</v>
      </c>
      <c r="F134" s="20"/>
      <c r="G134" s="56" t="s">
        <v>441</v>
      </c>
      <c r="H134" s="20" t="s">
        <v>83</v>
      </c>
      <c r="I134" s="20" t="s">
        <v>440</v>
      </c>
      <c r="J134" s="20" t="s">
        <v>423</v>
      </c>
      <c r="K134" s="20"/>
      <c r="L134" s="20"/>
      <c r="M134" s="20"/>
      <c r="N134" s="20"/>
      <c r="O134" s="70" t="s">
        <v>45</v>
      </c>
      <c r="P134" s="28"/>
      <c r="Q134" s="28"/>
      <c r="R134" s="20"/>
      <c r="S134" s="20" t="s">
        <v>351</v>
      </c>
      <c r="T134" s="20" t="s">
        <v>352</v>
      </c>
      <c r="U134" s="20"/>
      <c r="V134" s="20"/>
      <c r="W134" s="20"/>
      <c r="X134" s="20"/>
      <c r="Y134" s="20"/>
      <c r="Z134" s="20"/>
      <c r="AA134" s="54"/>
      <c r="AB134" s="45"/>
      <c r="AC134" s="49"/>
      <c r="AD134" s="51"/>
      <c r="AE134" s="42"/>
      <c r="AF134" s="51"/>
    </row>
    <row r="135" spans="1:32" x14ac:dyDescent="0.25">
      <c r="A135" s="20" t="s">
        <v>418</v>
      </c>
      <c r="B135" s="20" t="s">
        <v>409</v>
      </c>
      <c r="C135" s="20" t="s">
        <v>410</v>
      </c>
      <c r="D135" s="20" t="s">
        <v>411</v>
      </c>
      <c r="E135" s="20" t="s">
        <v>412</v>
      </c>
      <c r="F135" s="20"/>
      <c r="G135" s="56" t="s">
        <v>442</v>
      </c>
      <c r="H135" s="20" t="s">
        <v>83</v>
      </c>
      <c r="I135" s="20" t="s">
        <v>443</v>
      </c>
      <c r="J135" s="20" t="s">
        <v>421</v>
      </c>
      <c r="K135" s="20"/>
      <c r="L135" s="20"/>
      <c r="M135" s="20"/>
      <c r="N135" s="20"/>
      <c r="O135" s="70" t="s">
        <v>45</v>
      </c>
      <c r="P135" s="28"/>
      <c r="Q135" s="28"/>
      <c r="R135" s="20"/>
      <c r="S135" s="20" t="s">
        <v>351</v>
      </c>
      <c r="T135" s="20" t="s">
        <v>352</v>
      </c>
      <c r="U135" s="20"/>
      <c r="V135" s="20"/>
      <c r="W135" s="20"/>
      <c r="X135" s="20"/>
      <c r="Y135" s="20"/>
      <c r="Z135" s="20"/>
      <c r="AA135" s="54"/>
      <c r="AB135" s="45"/>
      <c r="AC135" s="49"/>
      <c r="AD135" s="51"/>
      <c r="AE135" s="42"/>
      <c r="AF135" s="51"/>
    </row>
    <row r="136" spans="1:32" x14ac:dyDescent="0.25">
      <c r="A136" s="22" t="s">
        <v>418</v>
      </c>
      <c r="B136" s="22" t="s">
        <v>409</v>
      </c>
      <c r="C136" s="22" t="s">
        <v>410</v>
      </c>
      <c r="D136" s="22" t="s">
        <v>411</v>
      </c>
      <c r="E136" s="22" t="s">
        <v>412</v>
      </c>
      <c r="F136" s="22"/>
      <c r="G136" s="57" t="s">
        <v>444</v>
      </c>
      <c r="H136" s="22" t="s">
        <v>83</v>
      </c>
      <c r="I136" s="22" t="s">
        <v>443</v>
      </c>
      <c r="J136" s="22" t="s">
        <v>423</v>
      </c>
      <c r="K136" s="22"/>
      <c r="L136" s="22"/>
      <c r="M136" s="22"/>
      <c r="N136" s="22"/>
      <c r="O136" s="71" t="s">
        <v>45</v>
      </c>
      <c r="P136" s="29"/>
      <c r="Q136" s="29"/>
      <c r="R136" s="22"/>
      <c r="S136" s="22" t="s">
        <v>351</v>
      </c>
      <c r="T136" s="22" t="s">
        <v>352</v>
      </c>
      <c r="U136" s="22"/>
      <c r="V136" s="22"/>
      <c r="W136" s="22"/>
      <c r="X136" s="22"/>
      <c r="Y136" s="22"/>
      <c r="Z136" s="22"/>
      <c r="AA136" s="54"/>
      <c r="AB136" s="45"/>
      <c r="AC136" s="49"/>
      <c r="AD136" s="51"/>
      <c r="AE136" s="42"/>
      <c r="AF136" s="51"/>
    </row>
    <row r="137" spans="1:32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53"/>
      <c r="AD137" s="51"/>
      <c r="AE137" s="19"/>
      <c r="AF137" s="19"/>
    </row>
    <row r="138" spans="1:32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53"/>
      <c r="AD138" s="51"/>
      <c r="AE138" s="19"/>
      <c r="AF138" s="19"/>
    </row>
    <row r="139" spans="1:32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53"/>
      <c r="AE139" s="19"/>
      <c r="AF139" s="19"/>
    </row>
    <row r="140" spans="1:32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53"/>
      <c r="AE140" s="19"/>
      <c r="AF140" s="19"/>
    </row>
    <row r="141" spans="1:32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53"/>
      <c r="AE141" s="19"/>
      <c r="AF141" s="19"/>
    </row>
    <row r="142" spans="1:32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53"/>
      <c r="AE142" s="19"/>
      <c r="AF142" s="19"/>
    </row>
  </sheetData>
  <autoFilter ref="A1:AF9235" xr:uid="{00000000-0009-0000-0000-000002000000}"/>
  <conditionalFormatting sqref="A80:A119 K98:P100 K102:P113 K116:P117">
    <cfRule type="expression" dxfId="47" priority="15" stopIfTrue="1">
      <formula>#REF!="PA"</formula>
    </cfRule>
  </conditionalFormatting>
  <conditionalFormatting sqref="A120:P120 U120 X120:AC120">
    <cfRule type="expression" dxfId="46" priority="9" stopIfTrue="1">
      <formula>#REF!="PA"</formula>
    </cfRule>
  </conditionalFormatting>
  <conditionalFormatting sqref="A3:W5 Y3:AC5 E6:T6 V6:W6">
    <cfRule type="expression" dxfId="45" priority="43" stopIfTrue="1">
      <formula>$X3="PA"</formula>
    </cfRule>
  </conditionalFormatting>
  <conditionalFormatting sqref="A1:X2">
    <cfRule type="expression" dxfId="44" priority="1" stopIfTrue="1">
      <formula>$Y1="PA"</formula>
    </cfRule>
  </conditionalFormatting>
  <conditionalFormatting sqref="A121:AC136">
    <cfRule type="expression" dxfId="43" priority="10" stopIfTrue="1">
      <formula>#REF!="PA"</formula>
    </cfRule>
  </conditionalFormatting>
  <conditionalFormatting sqref="B6">
    <cfRule type="expression" dxfId="42" priority="33" stopIfTrue="1">
      <formula>$X6="PA"</formula>
    </cfRule>
  </conditionalFormatting>
  <conditionalFormatting sqref="B63">
    <cfRule type="expression" dxfId="41" priority="28" stopIfTrue="1">
      <formula>$X63="PA"</formula>
    </cfRule>
  </conditionalFormatting>
  <conditionalFormatting sqref="E63">
    <cfRule type="expression" dxfId="40" priority="29" stopIfTrue="1">
      <formula>$X63="PA"</formula>
    </cfRule>
  </conditionalFormatting>
  <conditionalFormatting sqref="E63:H63">
    <cfRule type="expression" dxfId="39" priority="30" stopIfTrue="1">
      <formula>#REF!="PA"</formula>
    </cfRule>
  </conditionalFormatting>
  <conditionalFormatting sqref="E6:Q6 U6 X6:AC6">
    <cfRule type="expression" dxfId="38" priority="49" stopIfTrue="1">
      <formula>#REF!="PA"</formula>
    </cfRule>
  </conditionalFormatting>
  <conditionalFormatting sqref="G2:G119">
    <cfRule type="duplicateValues" dxfId="37" priority="1370"/>
  </conditionalFormatting>
  <conditionalFormatting sqref="G120:G136">
    <cfRule type="duplicateValues" dxfId="36" priority="8"/>
  </conditionalFormatting>
  <conditionalFormatting sqref="I63 V63:W63">
    <cfRule type="expression" dxfId="35" priority="35" stopIfTrue="1">
      <formula>$X63="PA"</formula>
    </cfRule>
  </conditionalFormatting>
  <conditionalFormatting sqref="I63:Q63">
    <cfRule type="expression" dxfId="34" priority="24" stopIfTrue="1">
      <formula>#REF!="PA"</formula>
    </cfRule>
  </conditionalFormatting>
  <conditionalFormatting sqref="J7:J54 D7:I62 K8:N26 O8:O38 P15:AC54 D64:I119">
    <cfRule type="expression" dxfId="33" priority="36" stopIfTrue="1">
      <formula>#REF!="PA"</formula>
    </cfRule>
  </conditionalFormatting>
  <conditionalFormatting sqref="J64:J95">
    <cfRule type="expression" dxfId="32" priority="27" stopIfTrue="1">
      <formula>#REF!="PA"</formula>
    </cfRule>
  </conditionalFormatting>
  <conditionalFormatting sqref="K27 M27:N27 K28:N30 M31:N35 K36:N38">
    <cfRule type="expression" dxfId="31" priority="41" stopIfTrue="1">
      <formula>#REF!="PA"</formula>
    </cfRule>
  </conditionalFormatting>
  <conditionalFormatting sqref="K31:K35">
    <cfRule type="expression" dxfId="30" priority="32" stopIfTrue="1">
      <formula>#REF!="PA"</formula>
    </cfRule>
  </conditionalFormatting>
  <conditionalFormatting sqref="K111">
    <cfRule type="expression" dxfId="29" priority="19" stopIfTrue="1">
      <formula>#REF!="PA"</formula>
    </cfRule>
  </conditionalFormatting>
  <conditionalFormatting sqref="K39:O56 A39:A62 P55:X56 K57:Q57 S57:X57 M58:P58 S58:T58 V58:X58 K59:X60">
    <cfRule type="expression" dxfId="28" priority="38" stopIfTrue="1">
      <formula>#REF!="PA"</formula>
    </cfRule>
  </conditionalFormatting>
  <conditionalFormatting sqref="K64:P96">
    <cfRule type="expression" dxfId="27" priority="23" stopIfTrue="1">
      <formula>#REF!="PA"</formula>
    </cfRule>
  </conditionalFormatting>
  <conditionalFormatting sqref="K61:Q61 S61:X61">
    <cfRule type="expression" dxfId="26" priority="3" stopIfTrue="1">
      <formula>#REF!="PA"</formula>
    </cfRule>
  </conditionalFormatting>
  <conditionalFormatting sqref="K114:Q115 K118:Q119">
    <cfRule type="expression" dxfId="25" priority="21" stopIfTrue="1">
      <formula>#REF!="PA"</formula>
    </cfRule>
  </conditionalFormatting>
  <conditionalFormatting sqref="K7:AC7 Q8:AC11 Q12:V12 X12:AC12 Q13:AC14">
    <cfRule type="expression" dxfId="24" priority="40" stopIfTrue="1">
      <formula>#REF!="PA"</formula>
    </cfRule>
  </conditionalFormatting>
  <conditionalFormatting sqref="K97:AC97">
    <cfRule type="expression" dxfId="23" priority="14" stopIfTrue="1">
      <formula>#REF!="PA"</formula>
    </cfRule>
  </conditionalFormatting>
  <conditionalFormatting sqref="K101:AC101">
    <cfRule type="expression" dxfId="22" priority="13" stopIfTrue="1">
      <formula>#REF!="PA"</formula>
    </cfRule>
  </conditionalFormatting>
  <conditionalFormatting sqref="L31:L34">
    <cfRule type="expression" dxfId="21" priority="31" stopIfTrue="1">
      <formula>#REF!="PA"</formula>
    </cfRule>
  </conditionalFormatting>
  <conditionalFormatting sqref="L106">
    <cfRule type="expression" dxfId="20" priority="20" stopIfTrue="1">
      <formula>#REF!="PA"</formula>
    </cfRule>
  </conditionalFormatting>
  <conditionalFormatting sqref="L110:L111">
    <cfRule type="expression" dxfId="19" priority="18" stopIfTrue="1">
      <formula>#REF!="PA"</formula>
    </cfRule>
  </conditionalFormatting>
  <conditionalFormatting sqref="M62:P62 R62:X62">
    <cfRule type="expression" dxfId="18" priority="37" stopIfTrue="1">
      <formula>#REF!="PA"</formula>
    </cfRule>
  </conditionalFormatting>
  <conditionalFormatting sqref="P8:P14">
    <cfRule type="expression" dxfId="17" priority="39" stopIfTrue="1">
      <formula>#REF!="PA"</formula>
    </cfRule>
  </conditionalFormatting>
  <conditionalFormatting sqref="Q73:Q95">
    <cfRule type="expression" dxfId="16" priority="16" stopIfTrue="1">
      <formula>#REF!="PA"</formula>
    </cfRule>
  </conditionalFormatting>
  <conditionalFormatting sqref="Q112">
    <cfRule type="expression" dxfId="15" priority="22" stopIfTrue="1">
      <formula>#REF!="PA"</formula>
    </cfRule>
  </conditionalFormatting>
  <conditionalFormatting sqref="Q116">
    <cfRule type="expression" dxfId="14" priority="4" stopIfTrue="1">
      <formula>#REF!="PA"</formula>
    </cfRule>
  </conditionalFormatting>
  <conditionalFormatting sqref="Q120:T120">
    <cfRule type="expression" dxfId="13" priority="11" stopIfTrue="1">
      <formula>$X120="PA"</formula>
    </cfRule>
  </conditionalFormatting>
  <conditionalFormatting sqref="Q64:X72">
    <cfRule type="expression" dxfId="12" priority="5" stopIfTrue="1">
      <formula>#REF!="PA"</formula>
    </cfRule>
  </conditionalFormatting>
  <conditionalFormatting sqref="Q102:X103">
    <cfRule type="expression" dxfId="11" priority="25" stopIfTrue="1">
      <formula>#REF!="PA"</formula>
    </cfRule>
  </conditionalFormatting>
  <conditionalFormatting sqref="R104:S111 U104:W111">
    <cfRule type="expression" dxfId="10" priority="34" stopIfTrue="1">
      <formula>#REF!="PA"</formula>
    </cfRule>
  </conditionalFormatting>
  <conditionalFormatting sqref="R63:T63">
    <cfRule type="expression" dxfId="9" priority="46" stopIfTrue="1">
      <formula>$X63="PA"</formula>
    </cfRule>
  </conditionalFormatting>
  <conditionalFormatting sqref="R73:X77 R78:S81 U78:X81 R82:X96 R98:AC100">
    <cfRule type="expression" dxfId="8" priority="26" stopIfTrue="1">
      <formula>#REF!="PA"</formula>
    </cfRule>
  </conditionalFormatting>
  <conditionalFormatting sqref="R112:AC119">
    <cfRule type="expression" dxfId="7" priority="42" stopIfTrue="1">
      <formula>#REF!="PA"</formula>
    </cfRule>
  </conditionalFormatting>
  <conditionalFormatting sqref="T78:T79">
    <cfRule type="expression" dxfId="6" priority="17" stopIfTrue="1">
      <formula>#REF!="PA"</formula>
    </cfRule>
  </conditionalFormatting>
  <conditionalFormatting sqref="U63 X63:AC63">
    <cfRule type="expression" dxfId="5" priority="47" stopIfTrue="1">
      <formula>#REF!="PA"</formula>
    </cfRule>
  </conditionalFormatting>
  <conditionalFormatting sqref="V120:W120">
    <cfRule type="expression" dxfId="4" priority="12" stopIfTrue="1">
      <formula>$X120="PA"</formula>
    </cfRule>
  </conditionalFormatting>
  <conditionalFormatting sqref="X3:X5">
    <cfRule type="expression" dxfId="3" priority="44" stopIfTrue="1">
      <formula>#REF!="PA"</formula>
    </cfRule>
  </conditionalFormatting>
  <conditionalFormatting sqref="Y1:AC2">
    <cfRule type="expression" dxfId="2" priority="51" stopIfTrue="1">
      <formula>$X1="PA"</formula>
    </cfRule>
  </conditionalFormatting>
  <conditionalFormatting sqref="Y55:AC62 Y64:AC96 Y102:AC105 X104:X105 X106:AC111">
    <cfRule type="expression" dxfId="1" priority="48" stopIfTrue="1">
      <formula>#REF!="PA"</formula>
    </cfRule>
  </conditionalFormatting>
  <conditionalFormatting sqref="AD1:AD9999">
    <cfRule type="expression" dxfId="0" priority="2">
      <formula>IF($AD1&lt;&gt;"", SUM(--(($AB1 &amp;"-" &amp;$AD1)=(_xlfn._TRO_TRAILING($AB$1:$AB$9236) &amp;"-" &amp;_xlfn._TRO_TRAILING($AD$1:$AD$9236))))&gt;1)</formula>
    </cfRule>
  </conditionalFormatting>
  <pageMargins left="0.7" right="0.7" top="0.75" bottom="0.75" header="0.3" footer="0.3"/>
  <pageSetup paperSize="9" orientation="portrait"/>
  <headerFooter>
    <oddHeader>&amp;L&amp;"Calibri"&amp;1 &amp;K000000 Internal#_x000D_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I27" sqref="I27"/>
    </sheetView>
  </sheetViews>
  <sheetFormatPr defaultRowHeight="15" x14ac:dyDescent="0.25"/>
  <sheetData>
    <row r="1" spans="1:8" x14ac:dyDescent="0.25">
      <c r="A1" t="s">
        <v>627</v>
      </c>
      <c r="B1" t="s">
        <v>628</v>
      </c>
      <c r="C1" t="s">
        <v>629</v>
      </c>
      <c r="D1" t="s">
        <v>15</v>
      </c>
      <c r="E1" t="s">
        <v>630</v>
      </c>
      <c r="F1" t="s">
        <v>631</v>
      </c>
      <c r="G1" t="s">
        <v>632</v>
      </c>
      <c r="H1" t="s">
        <v>633</v>
      </c>
    </row>
    <row r="2" spans="1:8" x14ac:dyDescent="0.25">
      <c r="A2">
        <v>0</v>
      </c>
      <c r="B2">
        <v>0</v>
      </c>
      <c r="C2" t="s">
        <v>459</v>
      </c>
      <c r="D2" t="s">
        <v>460</v>
      </c>
      <c r="E2" t="s">
        <v>634</v>
      </c>
      <c r="F2">
        <v>1</v>
      </c>
      <c r="H2">
        <v>2</v>
      </c>
    </row>
    <row r="3" spans="1:8" x14ac:dyDescent="0.25">
      <c r="A3">
        <v>1</v>
      </c>
      <c r="B3">
        <v>1</v>
      </c>
      <c r="C3" t="s">
        <v>459</v>
      </c>
      <c r="D3" t="s">
        <v>476</v>
      </c>
      <c r="E3" t="s">
        <v>635</v>
      </c>
      <c r="F3">
        <v>1</v>
      </c>
      <c r="H3">
        <v>8</v>
      </c>
    </row>
    <row r="4" spans="1:8" x14ac:dyDescent="0.25">
      <c r="A4">
        <v>2</v>
      </c>
      <c r="B4">
        <v>2</v>
      </c>
      <c r="C4" t="s">
        <v>459</v>
      </c>
      <c r="D4" t="s">
        <v>495</v>
      </c>
      <c r="E4" t="s">
        <v>636</v>
      </c>
      <c r="F4">
        <v>1</v>
      </c>
      <c r="H4">
        <v>5</v>
      </c>
    </row>
    <row r="5" spans="1:8" x14ac:dyDescent="0.25">
      <c r="A5">
        <v>3</v>
      </c>
      <c r="B5">
        <v>3</v>
      </c>
      <c r="C5" t="s">
        <v>459</v>
      </c>
      <c r="D5" t="s">
        <v>505</v>
      </c>
      <c r="E5" t="s">
        <v>637</v>
      </c>
      <c r="F5">
        <v>1</v>
      </c>
      <c r="H5">
        <v>5</v>
      </c>
    </row>
    <row r="6" spans="1:8" x14ac:dyDescent="0.25">
      <c r="A6">
        <v>4</v>
      </c>
      <c r="B6">
        <v>4</v>
      </c>
      <c r="C6" t="s">
        <v>459</v>
      </c>
      <c r="D6" t="s">
        <v>549</v>
      </c>
      <c r="E6" t="s">
        <v>638</v>
      </c>
      <c r="F6">
        <v>1</v>
      </c>
      <c r="H6">
        <v>4</v>
      </c>
    </row>
    <row r="7" spans="1:8" x14ac:dyDescent="0.25">
      <c r="A7">
        <v>5</v>
      </c>
      <c r="B7">
        <v>5</v>
      </c>
      <c r="C7" t="s">
        <v>45</v>
      </c>
      <c r="D7" t="s">
        <v>71</v>
      </c>
      <c r="E7" t="s">
        <v>639</v>
      </c>
      <c r="F7">
        <v>1</v>
      </c>
      <c r="H7">
        <v>8</v>
      </c>
    </row>
    <row r="8" spans="1:8" x14ac:dyDescent="0.25">
      <c r="A8">
        <v>6</v>
      </c>
      <c r="B8">
        <v>6</v>
      </c>
      <c r="C8" t="s">
        <v>45</v>
      </c>
      <c r="D8" t="s">
        <v>148</v>
      </c>
      <c r="E8" t="s">
        <v>640</v>
      </c>
      <c r="F8">
        <v>1</v>
      </c>
      <c r="H8">
        <v>5</v>
      </c>
    </row>
    <row r="9" spans="1:8" x14ac:dyDescent="0.25">
      <c r="A9">
        <v>7</v>
      </c>
      <c r="B9">
        <v>7</v>
      </c>
      <c r="C9" t="s">
        <v>45</v>
      </c>
      <c r="D9" t="s">
        <v>180</v>
      </c>
      <c r="E9" t="s">
        <v>641</v>
      </c>
      <c r="F9">
        <v>1</v>
      </c>
      <c r="H9">
        <v>5</v>
      </c>
    </row>
    <row r="10" spans="1:8" x14ac:dyDescent="0.25">
      <c r="A10">
        <v>8</v>
      </c>
      <c r="B10">
        <v>8</v>
      </c>
      <c r="C10" t="s">
        <v>45</v>
      </c>
      <c r="D10" t="s">
        <v>277</v>
      </c>
      <c r="E10" t="s">
        <v>642</v>
      </c>
      <c r="F10">
        <v>1</v>
      </c>
      <c r="H10">
        <v>4</v>
      </c>
    </row>
    <row r="11" spans="1:8" x14ac:dyDescent="0.25">
      <c r="A11">
        <v>9</v>
      </c>
      <c r="B11">
        <v>9</v>
      </c>
      <c r="C11" t="s">
        <v>459</v>
      </c>
      <c r="D11" t="s">
        <v>643</v>
      </c>
      <c r="E11" t="s">
        <v>644</v>
      </c>
      <c r="F11">
        <v>2</v>
      </c>
      <c r="H11">
        <v>3</v>
      </c>
    </row>
    <row r="12" spans="1:8" x14ac:dyDescent="0.25">
      <c r="A12">
        <v>10</v>
      </c>
      <c r="B12">
        <v>10</v>
      </c>
      <c r="C12" t="s">
        <v>459</v>
      </c>
      <c r="D12" t="s">
        <v>645</v>
      </c>
      <c r="E12" t="s">
        <v>646</v>
      </c>
      <c r="F12">
        <v>2</v>
      </c>
      <c r="H12">
        <v>8</v>
      </c>
    </row>
    <row r="13" spans="1:8" x14ac:dyDescent="0.25">
      <c r="A13">
        <v>11</v>
      </c>
      <c r="B13">
        <v>11</v>
      </c>
      <c r="C13" t="s">
        <v>459</v>
      </c>
      <c r="D13" t="s">
        <v>647</v>
      </c>
      <c r="E13" t="s">
        <v>648</v>
      </c>
      <c r="F13">
        <v>2</v>
      </c>
      <c r="H13">
        <v>4</v>
      </c>
    </row>
    <row r="14" spans="1:8" x14ac:dyDescent="0.25">
      <c r="A14">
        <v>12</v>
      </c>
      <c r="B14">
        <v>12</v>
      </c>
      <c r="C14" t="s">
        <v>459</v>
      </c>
      <c r="D14" t="s">
        <v>649</v>
      </c>
      <c r="E14" t="s">
        <v>650</v>
      </c>
      <c r="F14">
        <v>2</v>
      </c>
      <c r="H14">
        <v>2</v>
      </c>
    </row>
    <row r="15" spans="1:8" x14ac:dyDescent="0.25">
      <c r="A15">
        <v>13</v>
      </c>
      <c r="B15">
        <v>13</v>
      </c>
      <c r="C15" t="s">
        <v>459</v>
      </c>
      <c r="D15" t="s">
        <v>651</v>
      </c>
      <c r="E15" t="s">
        <v>652</v>
      </c>
      <c r="F15">
        <v>2</v>
      </c>
      <c r="H15">
        <v>2</v>
      </c>
    </row>
    <row r="16" spans="1:8" x14ac:dyDescent="0.25">
      <c r="A16">
        <v>14</v>
      </c>
      <c r="B16">
        <v>14</v>
      </c>
      <c r="C16" t="s">
        <v>459</v>
      </c>
      <c r="D16" t="s">
        <v>653</v>
      </c>
      <c r="E16" t="s">
        <v>654</v>
      </c>
      <c r="F16">
        <v>2</v>
      </c>
      <c r="H16">
        <v>4</v>
      </c>
    </row>
    <row r="17" spans="1:8" x14ac:dyDescent="0.25">
      <c r="A17">
        <v>15</v>
      </c>
      <c r="B17">
        <v>15</v>
      </c>
      <c r="C17" t="s">
        <v>459</v>
      </c>
      <c r="D17" t="s">
        <v>655</v>
      </c>
      <c r="E17" t="s">
        <v>656</v>
      </c>
      <c r="F17">
        <v>2</v>
      </c>
      <c r="H17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selection activeCell="A19" sqref="A19"/>
    </sheetView>
  </sheetViews>
  <sheetFormatPr defaultRowHeight="15" x14ac:dyDescent="0.25"/>
  <cols>
    <col min="1" max="1" width="30.28515625" bestFit="1" customWidth="1"/>
  </cols>
  <sheetData>
    <row r="1" spans="1:5" x14ac:dyDescent="0.25">
      <c r="A1" t="s">
        <v>657</v>
      </c>
      <c r="B1" t="s">
        <v>27</v>
      </c>
      <c r="C1" t="s">
        <v>658</v>
      </c>
      <c r="D1" t="s">
        <v>449</v>
      </c>
      <c r="E1" t="s">
        <v>659</v>
      </c>
    </row>
    <row r="2" spans="1:5" ht="15.75" customHeight="1" x14ac:dyDescent="0.25">
      <c r="A2" s="73" t="s">
        <v>660</v>
      </c>
      <c r="B2" t="s">
        <v>285</v>
      </c>
      <c r="C2" t="s">
        <v>661</v>
      </c>
      <c r="D2" t="s">
        <v>662</v>
      </c>
      <c r="E2" t="s">
        <v>663</v>
      </c>
    </row>
    <row r="3" spans="1:5" ht="15.75" customHeight="1" x14ac:dyDescent="0.25">
      <c r="A3" s="73" t="s">
        <v>664</v>
      </c>
      <c r="B3" t="s">
        <v>285</v>
      </c>
      <c r="C3" t="s">
        <v>665</v>
      </c>
      <c r="D3" t="s">
        <v>662</v>
      </c>
      <c r="E3" t="s">
        <v>663</v>
      </c>
    </row>
    <row r="4" spans="1:5" ht="15.75" customHeight="1" x14ac:dyDescent="0.25">
      <c r="A4" s="73" t="s">
        <v>666</v>
      </c>
      <c r="B4" t="s">
        <v>285</v>
      </c>
      <c r="C4" t="s">
        <v>667</v>
      </c>
      <c r="D4" t="s">
        <v>662</v>
      </c>
      <c r="E4" t="s">
        <v>663</v>
      </c>
    </row>
    <row r="5" spans="1:5" ht="15.75" customHeight="1" x14ac:dyDescent="0.25">
      <c r="A5" s="73" t="s">
        <v>668</v>
      </c>
      <c r="B5" t="s">
        <v>324</v>
      </c>
      <c r="C5" t="s">
        <v>669</v>
      </c>
      <c r="D5" t="s">
        <v>670</v>
      </c>
      <c r="E5" t="s">
        <v>671</v>
      </c>
    </row>
    <row r="6" spans="1:5" ht="15.75" customHeight="1" x14ac:dyDescent="0.25">
      <c r="A6" s="73" t="s">
        <v>672</v>
      </c>
      <c r="B6" t="s">
        <v>324</v>
      </c>
      <c r="C6" t="s">
        <v>673</v>
      </c>
      <c r="D6" t="s">
        <v>674</v>
      </c>
      <c r="E6" t="s">
        <v>671</v>
      </c>
    </row>
    <row r="7" spans="1:5" ht="15.75" customHeight="1" x14ac:dyDescent="0.25">
      <c r="A7" s="73" t="s">
        <v>675</v>
      </c>
      <c r="B7" t="s">
        <v>382</v>
      </c>
      <c r="C7" t="s">
        <v>669</v>
      </c>
      <c r="D7" t="s">
        <v>381</v>
      </c>
      <c r="E7" t="s">
        <v>671</v>
      </c>
    </row>
    <row r="8" spans="1:5" ht="15.75" customHeight="1" x14ac:dyDescent="0.25">
      <c r="A8" s="73" t="s">
        <v>676</v>
      </c>
      <c r="B8" t="s">
        <v>382</v>
      </c>
      <c r="C8" t="s">
        <v>673</v>
      </c>
      <c r="D8" t="s">
        <v>385</v>
      </c>
      <c r="E8" t="s">
        <v>671</v>
      </c>
    </row>
    <row r="9" spans="1:5" ht="15.75" customHeight="1" x14ac:dyDescent="0.25">
      <c r="A9" s="73" t="s">
        <v>677</v>
      </c>
      <c r="B9" t="s">
        <v>400</v>
      </c>
      <c r="C9" t="s">
        <v>678</v>
      </c>
      <c r="D9" t="s">
        <v>679</v>
      </c>
      <c r="E9" t="s">
        <v>671</v>
      </c>
    </row>
    <row r="10" spans="1:5" ht="15.75" customHeight="1" x14ac:dyDescent="0.25">
      <c r="A10" s="73" t="s">
        <v>680</v>
      </c>
      <c r="B10" t="s">
        <v>400</v>
      </c>
      <c r="C10" t="s">
        <v>681</v>
      </c>
      <c r="D10" t="s">
        <v>679</v>
      </c>
      <c r="E10" t="s">
        <v>671</v>
      </c>
    </row>
    <row r="11" spans="1:5" ht="15.75" customHeight="1" x14ac:dyDescent="0.25">
      <c r="A11" s="73" t="s">
        <v>682</v>
      </c>
      <c r="B11" t="s">
        <v>285</v>
      </c>
      <c r="C11" t="s">
        <v>683</v>
      </c>
      <c r="D11" t="s">
        <v>662</v>
      </c>
      <c r="E11" t="s">
        <v>663</v>
      </c>
    </row>
    <row r="12" spans="1:5" ht="15.75" customHeight="1" x14ac:dyDescent="0.25">
      <c r="A12" s="73" t="s">
        <v>684</v>
      </c>
      <c r="B12" t="s">
        <v>285</v>
      </c>
      <c r="C12" t="s">
        <v>685</v>
      </c>
      <c r="D12" t="s">
        <v>662</v>
      </c>
      <c r="E12" t="s">
        <v>663</v>
      </c>
    </row>
    <row r="13" spans="1:5" ht="15.75" customHeight="1" x14ac:dyDescent="0.25">
      <c r="A13" s="73" t="s">
        <v>686</v>
      </c>
      <c r="B13" t="s">
        <v>285</v>
      </c>
      <c r="C13" t="s">
        <v>687</v>
      </c>
      <c r="D13" t="s">
        <v>662</v>
      </c>
      <c r="E13" t="s">
        <v>663</v>
      </c>
    </row>
    <row r="14" spans="1:5" ht="15.75" customHeight="1" x14ac:dyDescent="0.25">
      <c r="A14" s="73" t="s">
        <v>688</v>
      </c>
      <c r="B14" t="s">
        <v>324</v>
      </c>
      <c r="C14" t="s">
        <v>689</v>
      </c>
      <c r="D14" t="s">
        <v>670</v>
      </c>
      <c r="E14" t="s">
        <v>671</v>
      </c>
    </row>
    <row r="15" spans="1:5" ht="15.75" customHeight="1" x14ac:dyDescent="0.25">
      <c r="A15" s="73" t="s">
        <v>690</v>
      </c>
      <c r="B15" t="s">
        <v>324</v>
      </c>
      <c r="C15" t="s">
        <v>691</v>
      </c>
      <c r="D15" t="s">
        <v>674</v>
      </c>
      <c r="E15" t="s">
        <v>671</v>
      </c>
    </row>
    <row r="16" spans="1:5" ht="15.75" customHeight="1" x14ac:dyDescent="0.25">
      <c r="A16" s="73" t="s">
        <v>692</v>
      </c>
      <c r="B16" t="s">
        <v>382</v>
      </c>
      <c r="C16" t="s">
        <v>689</v>
      </c>
      <c r="D16" t="s">
        <v>381</v>
      </c>
      <c r="E16" t="s">
        <v>671</v>
      </c>
    </row>
    <row r="17" spans="1:5" ht="15.75" customHeight="1" x14ac:dyDescent="0.25">
      <c r="A17" s="73" t="s">
        <v>693</v>
      </c>
      <c r="B17" t="s">
        <v>382</v>
      </c>
      <c r="C17" t="s">
        <v>691</v>
      </c>
      <c r="D17" t="s">
        <v>385</v>
      </c>
      <c r="E17" t="s">
        <v>671</v>
      </c>
    </row>
    <row r="18" spans="1:5" ht="15.75" customHeight="1" x14ac:dyDescent="0.25">
      <c r="A18" s="73" t="s">
        <v>694</v>
      </c>
      <c r="B18" t="s">
        <v>400</v>
      </c>
      <c r="C18" t="s">
        <v>695</v>
      </c>
      <c r="D18" t="s">
        <v>679</v>
      </c>
      <c r="E18" t="s">
        <v>671</v>
      </c>
    </row>
    <row r="19" spans="1:5" ht="15.75" customHeight="1" x14ac:dyDescent="0.25">
      <c r="A19" s="73" t="s">
        <v>696</v>
      </c>
      <c r="B19" t="s">
        <v>400</v>
      </c>
      <c r="C19" t="s">
        <v>697</v>
      </c>
      <c r="D19" t="s">
        <v>679</v>
      </c>
      <c r="E19" t="s">
        <v>671</v>
      </c>
    </row>
  </sheetData>
  <hyperlinks>
    <hyperlink ref="A2" location="'NET SAFETY 50'!AD67" display="NET SAFETY 50 - Row 67 - KI" xr:uid="{00000000-0004-0000-0400-000000000000}"/>
    <hyperlink ref="A3" location="'NET SAFETY 50'!AD68" display="NET SAFETY 50 - Row 68 - KI" xr:uid="{00000000-0004-0000-0400-000001000000}"/>
    <hyperlink ref="A4" location="'NET SAFETY 50'!AD69" display="NET SAFETY 50 - Row 69 - KI" xr:uid="{00000000-0004-0000-0400-000002000000}"/>
    <hyperlink ref="A5" location="'NET SAFETY 50'!AD82" display="NET SAFETY 50 - Row 82 - DL" xr:uid="{00000000-0004-0000-0400-000003000000}"/>
    <hyperlink ref="A6" location="'NET SAFETY 50'!AD83" display="NET SAFETY 50 - Row 83 - DL" xr:uid="{00000000-0004-0000-0400-000004000000}"/>
    <hyperlink ref="A7" location="'NET SAFETY 50'!AD111" display="NET SAFETY 50 - Row 111 - DR" xr:uid="{00000000-0004-0000-0400-000005000000}"/>
    <hyperlink ref="A8" location="'NET SAFETY 50'!AD113" display="NET SAFETY 50 - Row 113 - DR" xr:uid="{00000000-0004-0000-0400-000006000000}"/>
    <hyperlink ref="A9" location="'NET SAFETY 50'!AD116" display="NET SAFETY 50 - Row 116 - DQ" xr:uid="{00000000-0004-0000-0400-000007000000}"/>
    <hyperlink ref="A10" location="'NET SAFETY 50'!AD117" display="NET SAFETY 50 - Row 117 - DQ" xr:uid="{00000000-0004-0000-0400-000008000000}"/>
    <hyperlink ref="A11" location="'NET SAFETY 51'!AD65" display="NET SAFETY 51 - Row 65 - KI" xr:uid="{00000000-0004-0000-0400-000009000000}"/>
    <hyperlink ref="A12" location="'NET SAFETY 51'!AD66" display="NET SAFETY 51 - Row 66 - KI" xr:uid="{00000000-0004-0000-0400-00000A000000}"/>
    <hyperlink ref="A13" location="'NET SAFETY 51'!AD67" display="NET SAFETY 51 - Row 67 - KI" xr:uid="{00000000-0004-0000-0400-00000B000000}"/>
    <hyperlink ref="A14" location="'NET SAFETY 51'!AD80" display="NET SAFETY 51 - Row 80 - DL" xr:uid="{00000000-0004-0000-0400-00000C000000}"/>
    <hyperlink ref="A15" location="'NET SAFETY 51'!AD81" display="NET SAFETY 51 - Row 81 - DL" xr:uid="{00000000-0004-0000-0400-00000D000000}"/>
    <hyperlink ref="A16" location="'NET SAFETY 51'!AD109" display="NET SAFETY 51 - Row 109 - DR" xr:uid="{00000000-0004-0000-0400-00000E000000}"/>
    <hyperlink ref="A17" location="'NET SAFETY 51'!AD111" display="NET SAFETY 51 - Row 111 - DR" xr:uid="{00000000-0004-0000-0400-00000F000000}"/>
    <hyperlink ref="A18" location="'NET SAFETY 51'!AD114" display="NET SAFETY 51 - Row 114 - DQ" xr:uid="{00000000-0004-0000-0400-000010000000}"/>
    <hyperlink ref="A19" location="'NET SAFETY 51'!AD115" display="NET SAFETY 51 - Row 115 - DQ" xr:uid="{00000000-0004-0000-0400-00001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68"/>
  <sheetViews>
    <sheetView topLeftCell="H1" workbookViewId="0">
      <selection activeCell="AG4" sqref="AG4"/>
    </sheetView>
  </sheetViews>
  <sheetFormatPr defaultRowHeight="15" x14ac:dyDescent="0.25"/>
  <cols>
    <col min="1" max="1" width="48.7109375" customWidth="1"/>
    <col min="2" max="2" width="50" customWidth="1"/>
    <col min="3" max="3" width="9.28515625" customWidth="1"/>
    <col min="4" max="4" width="8.42578125" customWidth="1"/>
    <col min="5" max="5" width="6.7109375" customWidth="1"/>
    <col min="6" max="6" width="5.85546875" customWidth="1"/>
    <col min="9" max="9" width="7.5703125" customWidth="1"/>
    <col min="11" max="11" width="8.7109375" customWidth="1"/>
    <col min="12" max="12" width="5.7109375" customWidth="1"/>
    <col min="13" max="13" width="18.140625" customWidth="1"/>
    <col min="14" max="14" width="16.140625" customWidth="1"/>
    <col min="15" max="15" width="48.85546875" customWidth="1"/>
    <col min="16" max="16" width="23.7109375" customWidth="1"/>
    <col min="17" max="17" width="23.28515625" customWidth="1"/>
    <col min="18" max="30" width="2.7109375" customWidth="1"/>
    <col min="31" max="31" width="8.5703125" customWidth="1"/>
    <col min="32" max="32" width="10.140625" customWidth="1"/>
    <col min="33" max="33" width="11.28515625" customWidth="1"/>
    <col min="34" max="34" width="10.28515625" customWidth="1"/>
    <col min="35" max="35" width="34" customWidth="1"/>
    <col min="36" max="36" width="35.7109375" customWidth="1"/>
  </cols>
  <sheetData>
    <row r="1" spans="1:36" ht="33" x14ac:dyDescent="0.25">
      <c r="A1" s="76" t="s">
        <v>698</v>
      </c>
      <c r="B1" s="76" t="s">
        <v>449</v>
      </c>
      <c r="C1" s="77" t="s">
        <v>629</v>
      </c>
      <c r="D1" s="77" t="s">
        <v>15</v>
      </c>
      <c r="E1" s="77" t="s">
        <v>16</v>
      </c>
      <c r="F1" s="78" t="s">
        <v>699</v>
      </c>
      <c r="G1" s="78" t="s">
        <v>700</v>
      </c>
      <c r="H1" s="78" t="s">
        <v>701</v>
      </c>
      <c r="I1" s="79" t="s">
        <v>702</v>
      </c>
      <c r="J1" s="79" t="s">
        <v>703</v>
      </c>
      <c r="K1" s="77" t="s">
        <v>704</v>
      </c>
      <c r="L1" s="77" t="s">
        <v>705</v>
      </c>
      <c r="M1" s="77" t="s">
        <v>706</v>
      </c>
      <c r="N1" s="77" t="s">
        <v>707</v>
      </c>
      <c r="O1" s="76" t="s">
        <v>708</v>
      </c>
      <c r="P1" s="76" t="s">
        <v>709</v>
      </c>
      <c r="Q1" s="76" t="s">
        <v>710</v>
      </c>
      <c r="AE1" s="76" t="s">
        <v>711</v>
      </c>
      <c r="AF1" s="76" t="s">
        <v>29</v>
      </c>
      <c r="AG1" s="76" t="s">
        <v>712</v>
      </c>
      <c r="AH1" s="76" t="s">
        <v>713</v>
      </c>
      <c r="AI1" s="76" t="s">
        <v>714</v>
      </c>
      <c r="AJ1" s="76" t="s">
        <v>715</v>
      </c>
    </row>
    <row r="2" spans="1:36" x14ac:dyDescent="0.25">
      <c r="A2" t="s">
        <v>716</v>
      </c>
      <c r="B2" t="s">
        <v>717</v>
      </c>
      <c r="I2" t="s">
        <v>718</v>
      </c>
      <c r="J2" s="80" t="s">
        <v>719</v>
      </c>
      <c r="K2" s="81">
        <v>0</v>
      </c>
      <c r="L2" s="81">
        <v>0</v>
      </c>
      <c r="M2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Q10000.0</v>
      </c>
      <c r="N2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I.12.0.0</v>
      </c>
      <c r="O2" t="s">
        <v>720</v>
      </c>
      <c r="P2" t="s">
        <v>721</v>
      </c>
      <c r="AE2" s="83">
        <v>1</v>
      </c>
      <c r="AF2" s="84" t="s">
        <v>113</v>
      </c>
      <c r="AG2" s="83">
        <v>10</v>
      </c>
      <c r="AH2" s="83">
        <v>10000</v>
      </c>
      <c r="AI2" s="83" t="s">
        <v>722</v>
      </c>
      <c r="AJ2" s="83" t="str">
        <f>SUBSTITUTE(SORTER_PARAMS_SORTER_01[[#This Row],[Input Format]], "I", "Q")</f>
        <v>Q&lt;base+offset&gt;/.&lt;bit&gt;</v>
      </c>
    </row>
    <row r="3" spans="1:36" x14ac:dyDescent="0.25">
      <c r="A3" t="s">
        <v>723</v>
      </c>
      <c r="B3" t="s">
        <v>724</v>
      </c>
      <c r="I3" t="s">
        <v>718</v>
      </c>
      <c r="J3" s="80" t="s">
        <v>719</v>
      </c>
      <c r="K3" s="81">
        <v>1</v>
      </c>
      <c r="L3" s="81">
        <v>0</v>
      </c>
      <c r="M3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Q10001.0</v>
      </c>
      <c r="N3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I.12.1.0</v>
      </c>
      <c r="O3" t="s">
        <v>725</v>
      </c>
      <c r="AE3" s="83">
        <v>2</v>
      </c>
      <c r="AF3" s="84" t="s">
        <v>113</v>
      </c>
      <c r="AG3" s="83">
        <v>12</v>
      </c>
      <c r="AH3" s="83">
        <v>0</v>
      </c>
      <c r="AI3" s="83" t="str">
        <f>"I." &amp;SORTER_PARAMS_SORTER_01[[#This Row],[Base Node]] &amp;".&lt;base+offset&gt;/.&lt;bit&gt;"</f>
        <v>I.12.&lt;base+offset&gt;/.&lt;bit&gt;</v>
      </c>
      <c r="AJ3" s="83" t="str">
        <f>SUBSTITUTE(SORTER_PARAMS_SORTER_01[[#This Row],[Input Format]], "I", "O")</f>
        <v>O.12.&lt;base+offset&gt;/.&lt;bit&gt;</v>
      </c>
    </row>
    <row r="4" spans="1:36" x14ac:dyDescent="0.25">
      <c r="A4" t="s">
        <v>723</v>
      </c>
      <c r="B4" t="s">
        <v>726</v>
      </c>
      <c r="I4" t="s">
        <v>718</v>
      </c>
      <c r="J4" s="80" t="s">
        <v>719</v>
      </c>
      <c r="K4" s="85">
        <f>K3</f>
        <v>1</v>
      </c>
      <c r="L4" s="85">
        <f>L3+1</f>
        <v>1</v>
      </c>
      <c r="M4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Q10001.1</v>
      </c>
      <c r="N4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I.12.1.1</v>
      </c>
      <c r="O4" t="s">
        <v>727</v>
      </c>
    </row>
    <row r="5" spans="1:36" ht="16.5" x14ac:dyDescent="0.25">
      <c r="A5" t="s">
        <v>723</v>
      </c>
      <c r="B5" t="s">
        <v>728</v>
      </c>
      <c r="I5" t="s">
        <v>718</v>
      </c>
      <c r="J5" s="80" t="s">
        <v>719</v>
      </c>
      <c r="K5" s="85">
        <f>K4</f>
        <v>1</v>
      </c>
      <c r="L5" s="85">
        <f>L4+1</f>
        <v>2</v>
      </c>
      <c r="M5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Q10001.2</v>
      </c>
      <c r="N5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I.12.1.2</v>
      </c>
      <c r="O5" t="s">
        <v>729</v>
      </c>
      <c r="AE5" s="86" t="s">
        <v>730</v>
      </c>
      <c r="AF5" s="86" t="s">
        <v>731</v>
      </c>
      <c r="AG5" s="86" t="s">
        <v>732</v>
      </c>
      <c r="AH5" s="86" t="s">
        <v>733</v>
      </c>
      <c r="AI5" t="s">
        <v>734</v>
      </c>
      <c r="AJ5" t="s">
        <v>735</v>
      </c>
    </row>
    <row r="6" spans="1:36" x14ac:dyDescent="0.25">
      <c r="A6" t="s">
        <v>736</v>
      </c>
      <c r="I6" t="s">
        <v>718</v>
      </c>
      <c r="J6" s="80" t="s">
        <v>719</v>
      </c>
      <c r="K6" s="85">
        <f>K5</f>
        <v>1</v>
      </c>
      <c r="L6" s="85">
        <f>L5+1</f>
        <v>3</v>
      </c>
      <c r="M6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Q10001.3</v>
      </c>
      <c r="N6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I.12.1.3</v>
      </c>
      <c r="O6" t="s">
        <v>737</v>
      </c>
      <c r="AE6" s="87"/>
      <c r="AF6" s="87"/>
      <c r="AG6" s="87"/>
      <c r="AH6" s="87"/>
      <c r="AI6" s="87"/>
      <c r="AJ6" s="80"/>
    </row>
    <row r="7" spans="1:36" x14ac:dyDescent="0.25">
      <c r="J7" s="80"/>
      <c r="K7" s="85"/>
      <c r="L7" s="85"/>
      <c r="M7" s="82"/>
      <c r="N7" s="82"/>
    </row>
    <row r="8" spans="1:36" x14ac:dyDescent="0.25">
      <c r="A8" t="s">
        <v>738</v>
      </c>
      <c r="B8" t="s">
        <v>739</v>
      </c>
      <c r="I8" t="s">
        <v>718</v>
      </c>
      <c r="J8" s="80" t="s">
        <v>740</v>
      </c>
      <c r="K8" s="85">
        <v>0</v>
      </c>
      <c r="L8" s="85">
        <v>0</v>
      </c>
      <c r="M8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I10000.0</v>
      </c>
      <c r="N8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O.12.0.0</v>
      </c>
      <c r="O8" t="s">
        <v>741</v>
      </c>
    </row>
    <row r="9" spans="1:36" x14ac:dyDescent="0.25">
      <c r="A9" t="s">
        <v>742</v>
      </c>
      <c r="B9" t="s">
        <v>743</v>
      </c>
      <c r="I9" t="s">
        <v>718</v>
      </c>
      <c r="J9" s="80" t="s">
        <v>740</v>
      </c>
      <c r="K9" s="85">
        <v>1</v>
      </c>
      <c r="L9" s="85">
        <v>0</v>
      </c>
      <c r="M9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I10001.0</v>
      </c>
      <c r="N9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O.12.1.0</v>
      </c>
      <c r="O9" t="s">
        <v>744</v>
      </c>
    </row>
    <row r="10" spans="1:36" x14ac:dyDescent="0.25">
      <c r="J10" s="80"/>
      <c r="K10" s="85"/>
      <c r="L10" s="85"/>
      <c r="M10" s="82"/>
      <c r="N10" s="82"/>
    </row>
    <row r="11" spans="1:36" x14ac:dyDescent="0.25">
      <c r="J11" s="80"/>
      <c r="K11" s="85"/>
      <c r="L11" s="85"/>
      <c r="M11" s="82"/>
      <c r="N11" s="82"/>
    </row>
    <row r="12" spans="1:36" x14ac:dyDescent="0.25">
      <c r="J12" s="80"/>
      <c r="K12" s="85"/>
      <c r="L12" s="85"/>
      <c r="M12" s="82"/>
      <c r="N12" s="82"/>
    </row>
    <row r="13" spans="1:36" x14ac:dyDescent="0.25">
      <c r="J13" s="80"/>
      <c r="K13" s="85"/>
      <c r="L13" s="85"/>
      <c r="M13" s="82"/>
      <c r="N13" s="82"/>
    </row>
    <row r="14" spans="1:36" x14ac:dyDescent="0.25">
      <c r="J14" s="80"/>
      <c r="K14" s="85"/>
      <c r="L14" s="85"/>
      <c r="M14" s="82"/>
      <c r="N14" s="82"/>
    </row>
    <row r="15" spans="1:36" x14ac:dyDescent="0.25">
      <c r="J15" s="80"/>
      <c r="K15" s="85"/>
      <c r="L15" s="85"/>
      <c r="M15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/>
      </c>
      <c r="N15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/>
      </c>
    </row>
    <row r="16" spans="1:36" x14ac:dyDescent="0.25">
      <c r="J16" s="80"/>
      <c r="K16" s="85"/>
      <c r="L16" s="85"/>
      <c r="M16" s="82"/>
      <c r="N16" s="82"/>
    </row>
    <row r="17" spans="1:16" x14ac:dyDescent="0.25">
      <c r="J17" s="80"/>
      <c r="K17" s="85"/>
      <c r="L17" s="85"/>
      <c r="M17" s="82"/>
      <c r="N17" s="82"/>
    </row>
    <row r="18" spans="1:16" x14ac:dyDescent="0.25">
      <c r="J18" s="80"/>
      <c r="K18" s="85"/>
      <c r="L18" s="85"/>
      <c r="M18" s="82"/>
      <c r="N18" s="82"/>
    </row>
    <row r="19" spans="1:16" x14ac:dyDescent="0.25">
      <c r="J19" s="80"/>
      <c r="K19" s="85"/>
      <c r="L19" s="85"/>
      <c r="M19" s="82"/>
      <c r="N19" s="82"/>
    </row>
    <row r="20" spans="1:16" x14ac:dyDescent="0.25">
      <c r="J20" s="80"/>
      <c r="K20" s="85"/>
      <c r="L20" s="85"/>
      <c r="M20" s="82"/>
      <c r="N20" s="82"/>
    </row>
    <row r="21" spans="1:16" x14ac:dyDescent="0.25">
      <c r="J21" s="80"/>
      <c r="K21" s="85"/>
      <c r="L21" s="85"/>
      <c r="M21" s="82"/>
      <c r="N21" s="82"/>
    </row>
    <row r="22" spans="1:16" x14ac:dyDescent="0.25">
      <c r="J22" s="80"/>
      <c r="K22" s="85"/>
      <c r="L22" s="85"/>
      <c r="M22" s="82"/>
      <c r="N22" s="82"/>
    </row>
    <row r="23" spans="1:16" x14ac:dyDescent="0.25">
      <c r="J23" s="80"/>
      <c r="K23" s="85"/>
      <c r="L23" s="85"/>
      <c r="M23" s="82"/>
      <c r="N23" s="82"/>
    </row>
    <row r="24" spans="1:16" x14ac:dyDescent="0.25">
      <c r="J24" s="80"/>
      <c r="K24" s="85"/>
      <c r="L24" s="85"/>
      <c r="M24" s="82"/>
      <c r="N24" s="82"/>
    </row>
    <row r="25" spans="1:16" x14ac:dyDescent="0.25">
      <c r="J25" s="80"/>
      <c r="K25" s="85"/>
      <c r="L25" s="85"/>
      <c r="M25" s="82"/>
      <c r="N25" s="82"/>
    </row>
    <row r="26" spans="1:16" x14ac:dyDescent="0.25">
      <c r="J26" s="80"/>
      <c r="K26" s="85"/>
      <c r="L26" s="85"/>
      <c r="M26" s="82"/>
      <c r="N26" s="82"/>
    </row>
    <row r="27" spans="1:16" x14ac:dyDescent="0.25">
      <c r="J27" s="80"/>
      <c r="K27" s="85"/>
      <c r="L27" s="85"/>
      <c r="M27" s="82"/>
      <c r="N27" s="82"/>
    </row>
    <row r="28" spans="1:16" x14ac:dyDescent="0.25">
      <c r="J28" s="80"/>
      <c r="K28" s="85"/>
      <c r="L28" s="85"/>
      <c r="M28" s="82"/>
      <c r="N28" s="82"/>
    </row>
    <row r="29" spans="1:16" x14ac:dyDescent="0.25">
      <c r="J29" s="80"/>
      <c r="K29" s="85"/>
      <c r="L29" s="85"/>
      <c r="M29" s="82"/>
      <c r="N29" s="82"/>
    </row>
    <row r="30" spans="1:16" x14ac:dyDescent="0.25">
      <c r="J30" s="80"/>
      <c r="K30" s="85"/>
      <c r="L30" s="85"/>
      <c r="M30" s="82"/>
      <c r="N30" s="82"/>
    </row>
    <row r="31" spans="1:16" x14ac:dyDescent="0.25">
      <c r="K31" s="82"/>
      <c r="L31" s="82"/>
      <c r="M31" s="8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/>
      </c>
      <c r="N31" s="8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/>
      </c>
    </row>
    <row r="32" spans="1:16" x14ac:dyDescent="0.25">
      <c r="A32" t="s">
        <v>518</v>
      </c>
      <c r="B32" t="s">
        <v>745</v>
      </c>
      <c r="C32" t="s">
        <v>459</v>
      </c>
      <c r="D32" t="s">
        <v>476</v>
      </c>
      <c r="E32" t="s">
        <v>204</v>
      </c>
      <c r="F32" t="s">
        <v>208</v>
      </c>
      <c r="G32" t="s">
        <v>139</v>
      </c>
      <c r="H32" t="s">
        <v>113</v>
      </c>
      <c r="I32" t="s">
        <v>718</v>
      </c>
      <c r="J32" t="s">
        <v>719</v>
      </c>
      <c r="K32">
        <v>10</v>
      </c>
      <c r="L32">
        <v>0</v>
      </c>
      <c r="M3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Q10010.0</v>
      </c>
      <c r="N3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I.12.10.0</v>
      </c>
      <c r="O32" t="s">
        <v>746</v>
      </c>
      <c r="P32" t="s">
        <v>747</v>
      </c>
    </row>
    <row r="33" spans="1:14" x14ac:dyDescent="0.25">
      <c r="A33" t="s">
        <v>518</v>
      </c>
      <c r="I33" t="s">
        <v>718</v>
      </c>
      <c r="J33" t="s">
        <v>719</v>
      </c>
      <c r="K33">
        <v>10</v>
      </c>
      <c r="L33">
        <v>1</v>
      </c>
      <c r="M3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Q10010.1</v>
      </c>
      <c r="N3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I.12.10.1</v>
      </c>
    </row>
    <row r="34" spans="1:14" x14ac:dyDescent="0.25">
      <c r="A34" t="s">
        <v>518</v>
      </c>
      <c r="I34" t="s">
        <v>718</v>
      </c>
      <c r="J34" t="s">
        <v>719</v>
      </c>
      <c r="K34">
        <v>10</v>
      </c>
      <c r="L34">
        <v>2</v>
      </c>
      <c r="M3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Q10010.2</v>
      </c>
      <c r="N3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I.12.10.2</v>
      </c>
    </row>
    <row r="35" spans="1:14" x14ac:dyDescent="0.25">
      <c r="A35" t="s">
        <v>518</v>
      </c>
      <c r="I35" t="s">
        <v>718</v>
      </c>
      <c r="J35" t="s">
        <v>719</v>
      </c>
      <c r="K35">
        <v>10</v>
      </c>
      <c r="L35">
        <v>3</v>
      </c>
      <c r="M3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Q10010.3</v>
      </c>
      <c r="N3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I.12.10.3</v>
      </c>
    </row>
    <row r="36" spans="1:14" x14ac:dyDescent="0.25">
      <c r="A36" t="s">
        <v>518</v>
      </c>
      <c r="I36" t="s">
        <v>718</v>
      </c>
      <c r="J36" t="s">
        <v>719</v>
      </c>
      <c r="K36">
        <v>10</v>
      </c>
      <c r="L36">
        <v>4</v>
      </c>
      <c r="M3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Q10010.4</v>
      </c>
      <c r="N3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I.12.10.4</v>
      </c>
    </row>
    <row r="37" spans="1:14" x14ac:dyDescent="0.25">
      <c r="A37" t="s">
        <v>518</v>
      </c>
      <c r="I37" t="s">
        <v>718</v>
      </c>
      <c r="J37" t="s">
        <v>719</v>
      </c>
      <c r="K37">
        <v>10</v>
      </c>
      <c r="L37">
        <v>5</v>
      </c>
      <c r="M3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Q10010.5</v>
      </c>
      <c r="N3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I.12.10.5</v>
      </c>
    </row>
    <row r="38" spans="1:14" x14ac:dyDescent="0.25">
      <c r="A38" t="s">
        <v>518</v>
      </c>
      <c r="I38" t="s">
        <v>718</v>
      </c>
      <c r="J38" t="s">
        <v>719</v>
      </c>
      <c r="K38">
        <v>10</v>
      </c>
      <c r="L38">
        <v>6</v>
      </c>
      <c r="M3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Q10010.6</v>
      </c>
      <c r="N3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I.12.10.6</v>
      </c>
    </row>
    <row r="39" spans="1:14" x14ac:dyDescent="0.25">
      <c r="A39" t="s">
        <v>518</v>
      </c>
      <c r="I39" t="s">
        <v>718</v>
      </c>
      <c r="J39" t="s">
        <v>719</v>
      </c>
      <c r="K39">
        <v>10</v>
      </c>
      <c r="L39">
        <v>7</v>
      </c>
      <c r="M3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Q10010.7</v>
      </c>
      <c r="N3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I.12.10.7</v>
      </c>
    </row>
    <row r="40" spans="1:14" x14ac:dyDescent="0.25">
      <c r="A40" t="s">
        <v>518</v>
      </c>
      <c r="I40" t="s">
        <v>718</v>
      </c>
      <c r="J40" t="s">
        <v>719</v>
      </c>
      <c r="K40">
        <v>11</v>
      </c>
      <c r="L40">
        <v>0</v>
      </c>
      <c r="M4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Q10011.0</v>
      </c>
      <c r="N4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I.12.11.0</v>
      </c>
    </row>
    <row r="41" spans="1:14" x14ac:dyDescent="0.25">
      <c r="A41" t="s">
        <v>518</v>
      </c>
      <c r="I41" t="s">
        <v>718</v>
      </c>
      <c r="J41" t="s">
        <v>719</v>
      </c>
      <c r="K41">
        <v>11</v>
      </c>
      <c r="L41">
        <v>1</v>
      </c>
      <c r="M4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Q10011.1</v>
      </c>
      <c r="N4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I.12.11.1</v>
      </c>
    </row>
    <row r="42" spans="1:14" x14ac:dyDescent="0.25">
      <c r="A42" t="s">
        <v>518</v>
      </c>
      <c r="I42" t="s">
        <v>718</v>
      </c>
      <c r="J42" t="s">
        <v>719</v>
      </c>
      <c r="K42">
        <v>11</v>
      </c>
      <c r="L42">
        <v>2</v>
      </c>
      <c r="M4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Q10011.2</v>
      </c>
      <c r="N4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I.12.11.2</v>
      </c>
    </row>
    <row r="43" spans="1:14" x14ac:dyDescent="0.25">
      <c r="A43" t="s">
        <v>518</v>
      </c>
      <c r="I43" t="s">
        <v>718</v>
      </c>
      <c r="J43" t="s">
        <v>719</v>
      </c>
      <c r="K43">
        <v>11</v>
      </c>
      <c r="L43">
        <v>3</v>
      </c>
      <c r="M4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Q10011.3</v>
      </c>
      <c r="N4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I.12.11.3</v>
      </c>
    </row>
    <row r="44" spans="1:14" x14ac:dyDescent="0.25">
      <c r="A44" t="s">
        <v>518</v>
      </c>
      <c r="I44" t="s">
        <v>718</v>
      </c>
      <c r="J44" t="s">
        <v>719</v>
      </c>
      <c r="K44">
        <v>11</v>
      </c>
      <c r="L44">
        <v>4</v>
      </c>
      <c r="M4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Q10011.4</v>
      </c>
      <c r="N4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I.12.11.4</v>
      </c>
    </row>
    <row r="45" spans="1:14" x14ac:dyDescent="0.25">
      <c r="A45" t="s">
        <v>518</v>
      </c>
      <c r="I45" t="s">
        <v>718</v>
      </c>
      <c r="J45" t="s">
        <v>719</v>
      </c>
      <c r="K45">
        <v>11</v>
      </c>
      <c r="L45">
        <v>5</v>
      </c>
      <c r="M4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Q10011.5</v>
      </c>
      <c r="N4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I.12.11.5</v>
      </c>
    </row>
    <row r="46" spans="1:14" x14ac:dyDescent="0.25">
      <c r="A46" t="s">
        <v>518</v>
      </c>
      <c r="I46" t="s">
        <v>718</v>
      </c>
      <c r="J46" t="s">
        <v>719</v>
      </c>
      <c r="K46">
        <v>11</v>
      </c>
      <c r="L46">
        <v>6</v>
      </c>
      <c r="M4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Q10011.6</v>
      </c>
      <c r="N4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I.12.11.6</v>
      </c>
    </row>
    <row r="47" spans="1:14" x14ac:dyDescent="0.25">
      <c r="A47" t="s">
        <v>518</v>
      </c>
      <c r="I47" t="s">
        <v>718</v>
      </c>
      <c r="J47" t="s">
        <v>719</v>
      </c>
      <c r="K47">
        <v>11</v>
      </c>
      <c r="L47">
        <v>7</v>
      </c>
      <c r="M4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Q10011.7</v>
      </c>
      <c r="N4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I.12.11.7</v>
      </c>
    </row>
    <row r="49" spans="1:16" x14ac:dyDescent="0.25">
      <c r="A49" t="s">
        <v>245</v>
      </c>
      <c r="B49" t="s">
        <v>748</v>
      </c>
      <c r="C49" t="s">
        <v>459</v>
      </c>
      <c r="D49" t="s">
        <v>476</v>
      </c>
      <c r="E49" t="s">
        <v>243</v>
      </c>
      <c r="F49" t="s">
        <v>246</v>
      </c>
      <c r="G49" t="s">
        <v>121</v>
      </c>
      <c r="H49" t="s">
        <v>108</v>
      </c>
      <c r="I49" t="s">
        <v>718</v>
      </c>
      <c r="J49" t="s">
        <v>719</v>
      </c>
      <c r="K49">
        <v>12</v>
      </c>
      <c r="L49">
        <v>0</v>
      </c>
      <c r="M4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Q10012.0</v>
      </c>
      <c r="N4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I.12.12.0</v>
      </c>
      <c r="O49" t="s">
        <v>749</v>
      </c>
      <c r="P49" t="s">
        <v>750</v>
      </c>
    </row>
    <row r="50" spans="1:16" x14ac:dyDescent="0.25">
      <c r="A50" t="s">
        <v>245</v>
      </c>
      <c r="I50" t="s">
        <v>718</v>
      </c>
      <c r="J50" t="s">
        <v>719</v>
      </c>
      <c r="K50">
        <v>12</v>
      </c>
      <c r="L50">
        <v>1</v>
      </c>
      <c r="M5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Q10012.1</v>
      </c>
      <c r="N5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I.12.12.1</v>
      </c>
    </row>
    <row r="51" spans="1:16" x14ac:dyDescent="0.25">
      <c r="A51" t="s">
        <v>245</v>
      </c>
      <c r="I51" t="s">
        <v>718</v>
      </c>
      <c r="J51" t="s">
        <v>719</v>
      </c>
      <c r="K51">
        <v>12</v>
      </c>
      <c r="L51">
        <v>2</v>
      </c>
      <c r="M5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Q10012.2</v>
      </c>
      <c r="N5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I.12.12.2</v>
      </c>
    </row>
    <row r="52" spans="1:16" x14ac:dyDescent="0.25">
      <c r="A52" t="s">
        <v>245</v>
      </c>
      <c r="I52" t="s">
        <v>718</v>
      </c>
      <c r="J52" t="s">
        <v>719</v>
      </c>
      <c r="K52">
        <v>12</v>
      </c>
      <c r="L52">
        <v>3</v>
      </c>
      <c r="M5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Q10012.3</v>
      </c>
      <c r="N5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I.12.12.3</v>
      </c>
    </row>
    <row r="53" spans="1:16" x14ac:dyDescent="0.25">
      <c r="A53" t="s">
        <v>245</v>
      </c>
      <c r="I53" t="s">
        <v>718</v>
      </c>
      <c r="J53" t="s">
        <v>719</v>
      </c>
      <c r="K53">
        <v>12</v>
      </c>
      <c r="L53">
        <v>4</v>
      </c>
      <c r="M5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Q10012.4</v>
      </c>
      <c r="N5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I.12.12.4</v>
      </c>
    </row>
    <row r="54" spans="1:16" x14ac:dyDescent="0.25">
      <c r="A54" t="s">
        <v>245</v>
      </c>
      <c r="I54" t="s">
        <v>718</v>
      </c>
      <c r="J54" t="s">
        <v>719</v>
      </c>
      <c r="K54">
        <v>12</v>
      </c>
      <c r="L54">
        <v>5</v>
      </c>
      <c r="M5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Q10012.5</v>
      </c>
      <c r="N5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I.12.12.5</v>
      </c>
    </row>
    <row r="55" spans="1:16" x14ac:dyDescent="0.25">
      <c r="A55" t="s">
        <v>245</v>
      </c>
      <c r="I55" t="s">
        <v>718</v>
      </c>
      <c r="J55" t="s">
        <v>719</v>
      </c>
      <c r="K55">
        <v>12</v>
      </c>
      <c r="L55">
        <v>6</v>
      </c>
      <c r="M5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Q10012.6</v>
      </c>
      <c r="N5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I.12.12.6</v>
      </c>
    </row>
    <row r="56" spans="1:16" x14ac:dyDescent="0.25">
      <c r="A56" t="s">
        <v>245</v>
      </c>
      <c r="I56" t="s">
        <v>718</v>
      </c>
      <c r="J56" t="s">
        <v>719</v>
      </c>
      <c r="K56">
        <v>12</v>
      </c>
      <c r="L56">
        <v>7</v>
      </c>
      <c r="M5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Q10012.7</v>
      </c>
      <c r="N5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I.12.12.7</v>
      </c>
    </row>
    <row r="57" spans="1:16" x14ac:dyDescent="0.25">
      <c r="A57" t="s">
        <v>245</v>
      </c>
      <c r="I57" t="s">
        <v>718</v>
      </c>
      <c r="J57" t="s">
        <v>719</v>
      </c>
      <c r="K57">
        <v>13</v>
      </c>
      <c r="L57">
        <v>0</v>
      </c>
      <c r="M5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Q10013.0</v>
      </c>
      <c r="N5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I.12.13.0</v>
      </c>
    </row>
    <row r="58" spans="1:16" x14ac:dyDescent="0.25">
      <c r="A58" t="s">
        <v>245</v>
      </c>
      <c r="I58" t="s">
        <v>718</v>
      </c>
      <c r="J58" t="s">
        <v>719</v>
      </c>
      <c r="K58">
        <v>13</v>
      </c>
      <c r="L58">
        <v>1</v>
      </c>
      <c r="M5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Q10013.1</v>
      </c>
      <c r="N5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I.12.13.1</v>
      </c>
    </row>
    <row r="59" spans="1:16" x14ac:dyDescent="0.25">
      <c r="A59" t="s">
        <v>245</v>
      </c>
      <c r="I59" t="s">
        <v>718</v>
      </c>
      <c r="J59" t="s">
        <v>719</v>
      </c>
      <c r="K59">
        <v>13</v>
      </c>
      <c r="L59">
        <v>2</v>
      </c>
      <c r="M5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Q10013.2</v>
      </c>
      <c r="N5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I.12.13.2</v>
      </c>
    </row>
    <row r="60" spans="1:16" x14ac:dyDescent="0.25">
      <c r="A60" t="s">
        <v>245</v>
      </c>
      <c r="I60" t="s">
        <v>718</v>
      </c>
      <c r="J60" t="s">
        <v>719</v>
      </c>
      <c r="K60">
        <v>13</v>
      </c>
      <c r="L60">
        <v>3</v>
      </c>
      <c r="M6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Q10013.3</v>
      </c>
      <c r="N6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I.12.13.3</v>
      </c>
    </row>
    <row r="61" spans="1:16" x14ac:dyDescent="0.25">
      <c r="A61" t="s">
        <v>245</v>
      </c>
      <c r="I61" t="s">
        <v>718</v>
      </c>
      <c r="J61" t="s">
        <v>719</v>
      </c>
      <c r="K61">
        <v>13</v>
      </c>
      <c r="L61">
        <v>4</v>
      </c>
      <c r="M6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Q10013.4</v>
      </c>
      <c r="N6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I.12.13.4</v>
      </c>
    </row>
    <row r="62" spans="1:16" x14ac:dyDescent="0.25">
      <c r="A62" t="s">
        <v>245</v>
      </c>
      <c r="I62" t="s">
        <v>718</v>
      </c>
      <c r="J62" t="s">
        <v>719</v>
      </c>
      <c r="K62">
        <v>13</v>
      </c>
      <c r="L62">
        <v>5</v>
      </c>
      <c r="M6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Q10013.5</v>
      </c>
      <c r="N6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I.12.13.5</v>
      </c>
    </row>
    <row r="63" spans="1:16" x14ac:dyDescent="0.25">
      <c r="A63" t="s">
        <v>245</v>
      </c>
      <c r="I63" t="s">
        <v>718</v>
      </c>
      <c r="J63" t="s">
        <v>719</v>
      </c>
      <c r="K63">
        <v>13</v>
      </c>
      <c r="L63">
        <v>6</v>
      </c>
      <c r="M6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Q10013.6</v>
      </c>
      <c r="N6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I.12.13.6</v>
      </c>
    </row>
    <row r="64" spans="1:16" x14ac:dyDescent="0.25">
      <c r="A64" t="s">
        <v>245</v>
      </c>
      <c r="I64" t="s">
        <v>718</v>
      </c>
      <c r="J64" t="s">
        <v>719</v>
      </c>
      <c r="K64">
        <v>13</v>
      </c>
      <c r="L64">
        <v>7</v>
      </c>
      <c r="M6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Q10013.7</v>
      </c>
      <c r="N6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I.12.13.7</v>
      </c>
    </row>
    <row r="66" spans="1:16" x14ac:dyDescent="0.25">
      <c r="A66" t="s">
        <v>258</v>
      </c>
      <c r="B66" t="s">
        <v>751</v>
      </c>
      <c r="C66" t="s">
        <v>459</v>
      </c>
      <c r="D66" t="s">
        <v>476</v>
      </c>
      <c r="E66" t="s">
        <v>257</v>
      </c>
      <c r="F66" t="s">
        <v>259</v>
      </c>
      <c r="G66" t="s">
        <v>127</v>
      </c>
      <c r="H66" t="s">
        <v>108</v>
      </c>
      <c r="I66" t="s">
        <v>718</v>
      </c>
      <c r="J66" t="s">
        <v>719</v>
      </c>
      <c r="K66">
        <v>14</v>
      </c>
      <c r="L66">
        <v>0</v>
      </c>
      <c r="M6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Q10014.0</v>
      </c>
      <c r="N6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I.12.14.0</v>
      </c>
      <c r="O66" t="s">
        <v>752</v>
      </c>
      <c r="P66" t="s">
        <v>753</v>
      </c>
    </row>
    <row r="67" spans="1:16" x14ac:dyDescent="0.25">
      <c r="A67" t="s">
        <v>258</v>
      </c>
      <c r="I67" t="s">
        <v>718</v>
      </c>
      <c r="J67" t="s">
        <v>719</v>
      </c>
      <c r="K67">
        <v>14</v>
      </c>
      <c r="L67">
        <v>1</v>
      </c>
      <c r="M6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Q10014.1</v>
      </c>
      <c r="N6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I.12.14.1</v>
      </c>
    </row>
    <row r="68" spans="1:16" x14ac:dyDescent="0.25">
      <c r="A68" t="s">
        <v>258</v>
      </c>
      <c r="I68" t="s">
        <v>718</v>
      </c>
      <c r="J68" t="s">
        <v>719</v>
      </c>
      <c r="K68">
        <v>14</v>
      </c>
      <c r="L68">
        <v>2</v>
      </c>
      <c r="M6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Q10014.2</v>
      </c>
      <c r="N6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I.12.14.2</v>
      </c>
    </row>
    <row r="69" spans="1:16" x14ac:dyDescent="0.25">
      <c r="A69" t="s">
        <v>258</v>
      </c>
      <c r="I69" t="s">
        <v>718</v>
      </c>
      <c r="J69" t="s">
        <v>719</v>
      </c>
      <c r="K69">
        <v>14</v>
      </c>
      <c r="L69">
        <v>3</v>
      </c>
      <c r="M6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Q10014.3</v>
      </c>
      <c r="N6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I.12.14.3</v>
      </c>
    </row>
    <row r="70" spans="1:16" x14ac:dyDescent="0.25">
      <c r="A70" t="s">
        <v>258</v>
      </c>
      <c r="I70" t="s">
        <v>718</v>
      </c>
      <c r="J70" t="s">
        <v>719</v>
      </c>
      <c r="K70">
        <v>14</v>
      </c>
      <c r="L70">
        <v>4</v>
      </c>
      <c r="M7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Q10014.4</v>
      </c>
      <c r="N7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I.12.14.4</v>
      </c>
    </row>
    <row r="71" spans="1:16" x14ac:dyDescent="0.25">
      <c r="A71" t="s">
        <v>258</v>
      </c>
      <c r="I71" t="s">
        <v>718</v>
      </c>
      <c r="J71" t="s">
        <v>719</v>
      </c>
      <c r="K71">
        <v>14</v>
      </c>
      <c r="L71">
        <v>5</v>
      </c>
      <c r="M7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Q10014.5</v>
      </c>
      <c r="N7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I.12.14.5</v>
      </c>
    </row>
    <row r="72" spans="1:16" x14ac:dyDescent="0.25">
      <c r="A72" t="s">
        <v>258</v>
      </c>
      <c r="I72" t="s">
        <v>718</v>
      </c>
      <c r="J72" t="s">
        <v>719</v>
      </c>
      <c r="K72">
        <v>14</v>
      </c>
      <c r="L72">
        <v>6</v>
      </c>
      <c r="M7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Q10014.6</v>
      </c>
      <c r="N7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I.12.14.6</v>
      </c>
    </row>
    <row r="73" spans="1:16" x14ac:dyDescent="0.25">
      <c r="A73" t="s">
        <v>258</v>
      </c>
      <c r="I73" t="s">
        <v>718</v>
      </c>
      <c r="J73" t="s">
        <v>719</v>
      </c>
      <c r="K73">
        <v>14</v>
      </c>
      <c r="L73">
        <v>7</v>
      </c>
      <c r="M7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Q10014.7</v>
      </c>
      <c r="N7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I.12.14.7</v>
      </c>
    </row>
    <row r="74" spans="1:16" x14ac:dyDescent="0.25">
      <c r="A74" t="s">
        <v>258</v>
      </c>
      <c r="I74" t="s">
        <v>718</v>
      </c>
      <c r="J74" t="s">
        <v>719</v>
      </c>
      <c r="K74">
        <v>15</v>
      </c>
      <c r="L74">
        <v>0</v>
      </c>
      <c r="M7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Q10015.0</v>
      </c>
      <c r="N7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I.12.15.0</v>
      </c>
    </row>
    <row r="75" spans="1:16" x14ac:dyDescent="0.25">
      <c r="A75" t="s">
        <v>258</v>
      </c>
      <c r="I75" t="s">
        <v>718</v>
      </c>
      <c r="J75" t="s">
        <v>719</v>
      </c>
      <c r="K75">
        <v>15</v>
      </c>
      <c r="L75">
        <v>1</v>
      </c>
      <c r="M7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Q10015.1</v>
      </c>
      <c r="N7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I.12.15.1</v>
      </c>
    </row>
    <row r="76" spans="1:16" x14ac:dyDescent="0.25">
      <c r="A76" t="s">
        <v>258</v>
      </c>
      <c r="I76" t="s">
        <v>718</v>
      </c>
      <c r="J76" t="s">
        <v>719</v>
      </c>
      <c r="K76">
        <v>15</v>
      </c>
      <c r="L76">
        <v>2</v>
      </c>
      <c r="M7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Q10015.2</v>
      </c>
      <c r="N7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I.12.15.2</v>
      </c>
    </row>
    <row r="77" spans="1:16" x14ac:dyDescent="0.25">
      <c r="A77" t="s">
        <v>258</v>
      </c>
      <c r="I77" t="s">
        <v>718</v>
      </c>
      <c r="J77" t="s">
        <v>719</v>
      </c>
      <c r="K77">
        <v>15</v>
      </c>
      <c r="L77">
        <v>3</v>
      </c>
      <c r="M7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Q10015.3</v>
      </c>
      <c r="N7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I.12.15.3</v>
      </c>
    </row>
    <row r="78" spans="1:16" x14ac:dyDescent="0.25">
      <c r="A78" t="s">
        <v>258</v>
      </c>
      <c r="I78" t="s">
        <v>718</v>
      </c>
      <c r="J78" t="s">
        <v>719</v>
      </c>
      <c r="K78">
        <v>15</v>
      </c>
      <c r="L78">
        <v>4</v>
      </c>
      <c r="M7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Q10015.4</v>
      </c>
      <c r="N7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I.12.15.4</v>
      </c>
    </row>
    <row r="79" spans="1:16" x14ac:dyDescent="0.25">
      <c r="A79" t="s">
        <v>258</v>
      </c>
      <c r="I79" t="s">
        <v>718</v>
      </c>
      <c r="J79" t="s">
        <v>719</v>
      </c>
      <c r="K79">
        <v>15</v>
      </c>
      <c r="L79">
        <v>5</v>
      </c>
      <c r="M7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Q10015.5</v>
      </c>
      <c r="N7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I.12.15.5</v>
      </c>
    </row>
    <row r="80" spans="1:16" x14ac:dyDescent="0.25">
      <c r="A80" t="s">
        <v>258</v>
      </c>
      <c r="I80" t="s">
        <v>718</v>
      </c>
      <c r="J80" t="s">
        <v>719</v>
      </c>
      <c r="K80">
        <v>15</v>
      </c>
      <c r="L80">
        <v>6</v>
      </c>
      <c r="M8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Q10015.6</v>
      </c>
      <c r="N8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I.12.15.6</v>
      </c>
    </row>
    <row r="81" spans="1:16" x14ac:dyDescent="0.25">
      <c r="A81" t="s">
        <v>258</v>
      </c>
      <c r="I81" t="s">
        <v>718</v>
      </c>
      <c r="J81" t="s">
        <v>719</v>
      </c>
      <c r="K81">
        <v>15</v>
      </c>
      <c r="L81">
        <v>7</v>
      </c>
      <c r="M8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Q10015.7</v>
      </c>
      <c r="N8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I.12.15.7</v>
      </c>
    </row>
    <row r="83" spans="1:16" x14ac:dyDescent="0.25">
      <c r="A83" t="s">
        <v>315</v>
      </c>
      <c r="B83" t="s">
        <v>754</v>
      </c>
      <c r="C83" t="s">
        <v>459</v>
      </c>
      <c r="D83" t="s">
        <v>549</v>
      </c>
      <c r="E83" t="s">
        <v>313</v>
      </c>
      <c r="F83" t="s">
        <v>316</v>
      </c>
      <c r="G83" t="s">
        <v>115</v>
      </c>
      <c r="H83" t="s">
        <v>108</v>
      </c>
      <c r="I83" t="s">
        <v>718</v>
      </c>
      <c r="J83" t="s">
        <v>719</v>
      </c>
      <c r="K83">
        <v>16</v>
      </c>
      <c r="L83">
        <v>0</v>
      </c>
      <c r="M8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Q10016.0</v>
      </c>
      <c r="N8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I.12.16.0</v>
      </c>
      <c r="O83" t="s">
        <v>755</v>
      </c>
      <c r="P83" t="s">
        <v>756</v>
      </c>
    </row>
    <row r="84" spans="1:16" x14ac:dyDescent="0.25">
      <c r="A84" t="s">
        <v>315</v>
      </c>
      <c r="I84" t="s">
        <v>718</v>
      </c>
      <c r="J84" t="s">
        <v>719</v>
      </c>
      <c r="K84">
        <v>16</v>
      </c>
      <c r="L84">
        <v>1</v>
      </c>
      <c r="M8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Q10016.1</v>
      </c>
      <c r="N8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I.12.16.1</v>
      </c>
    </row>
    <row r="85" spans="1:16" x14ac:dyDescent="0.25">
      <c r="A85" t="s">
        <v>315</v>
      </c>
      <c r="I85" t="s">
        <v>718</v>
      </c>
      <c r="J85" t="s">
        <v>719</v>
      </c>
      <c r="K85">
        <v>16</v>
      </c>
      <c r="L85">
        <v>2</v>
      </c>
      <c r="M8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Q10016.2</v>
      </c>
      <c r="N8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I.12.16.2</v>
      </c>
    </row>
    <row r="86" spans="1:16" x14ac:dyDescent="0.25">
      <c r="A86" t="s">
        <v>315</v>
      </c>
      <c r="I86" t="s">
        <v>718</v>
      </c>
      <c r="J86" t="s">
        <v>719</v>
      </c>
      <c r="K86">
        <v>16</v>
      </c>
      <c r="L86">
        <v>3</v>
      </c>
      <c r="M8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Q10016.3</v>
      </c>
      <c r="N8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I.12.16.3</v>
      </c>
    </row>
    <row r="87" spans="1:16" x14ac:dyDescent="0.25">
      <c r="A87" t="s">
        <v>315</v>
      </c>
      <c r="I87" t="s">
        <v>718</v>
      </c>
      <c r="J87" t="s">
        <v>719</v>
      </c>
      <c r="K87">
        <v>16</v>
      </c>
      <c r="L87">
        <v>4</v>
      </c>
      <c r="M8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Q10016.4</v>
      </c>
      <c r="N8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I.12.16.4</v>
      </c>
    </row>
    <row r="88" spans="1:16" x14ac:dyDescent="0.25">
      <c r="A88" t="s">
        <v>315</v>
      </c>
      <c r="I88" t="s">
        <v>718</v>
      </c>
      <c r="J88" t="s">
        <v>719</v>
      </c>
      <c r="K88">
        <v>16</v>
      </c>
      <c r="L88">
        <v>5</v>
      </c>
      <c r="M8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Q10016.5</v>
      </c>
      <c r="N8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I.12.16.5</v>
      </c>
    </row>
    <row r="89" spans="1:16" x14ac:dyDescent="0.25">
      <c r="A89" t="s">
        <v>315</v>
      </c>
      <c r="I89" t="s">
        <v>718</v>
      </c>
      <c r="J89" t="s">
        <v>719</v>
      </c>
      <c r="K89">
        <v>16</v>
      </c>
      <c r="L89">
        <v>6</v>
      </c>
      <c r="M8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Q10016.6</v>
      </c>
      <c r="N8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I.12.16.6</v>
      </c>
    </row>
    <row r="90" spans="1:16" x14ac:dyDescent="0.25">
      <c r="A90" t="s">
        <v>315</v>
      </c>
      <c r="I90" t="s">
        <v>718</v>
      </c>
      <c r="J90" t="s">
        <v>719</v>
      </c>
      <c r="K90">
        <v>16</v>
      </c>
      <c r="L90">
        <v>7</v>
      </c>
      <c r="M9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Q10016.7</v>
      </c>
      <c r="N9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I.12.16.7</v>
      </c>
    </row>
    <row r="91" spans="1:16" x14ac:dyDescent="0.25">
      <c r="A91" t="s">
        <v>315</v>
      </c>
      <c r="I91" t="s">
        <v>718</v>
      </c>
      <c r="J91" t="s">
        <v>719</v>
      </c>
      <c r="K91">
        <v>17</v>
      </c>
      <c r="L91">
        <v>0</v>
      </c>
      <c r="M9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Q10017.0</v>
      </c>
      <c r="N9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I.12.17.0</v>
      </c>
    </row>
    <row r="92" spans="1:16" x14ac:dyDescent="0.25">
      <c r="A92" t="s">
        <v>315</v>
      </c>
      <c r="I92" t="s">
        <v>718</v>
      </c>
      <c r="J92" t="s">
        <v>719</v>
      </c>
      <c r="K92">
        <v>17</v>
      </c>
      <c r="L92">
        <v>1</v>
      </c>
      <c r="M9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Q10017.1</v>
      </c>
      <c r="N9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I.12.17.1</v>
      </c>
    </row>
    <row r="93" spans="1:16" x14ac:dyDescent="0.25">
      <c r="A93" t="s">
        <v>315</v>
      </c>
      <c r="I93" t="s">
        <v>718</v>
      </c>
      <c r="J93" t="s">
        <v>719</v>
      </c>
      <c r="K93">
        <v>17</v>
      </c>
      <c r="L93">
        <v>2</v>
      </c>
      <c r="M9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Q10017.2</v>
      </c>
      <c r="N9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I.12.17.2</v>
      </c>
    </row>
    <row r="94" spans="1:16" x14ac:dyDescent="0.25">
      <c r="A94" t="s">
        <v>315</v>
      </c>
      <c r="I94" t="s">
        <v>718</v>
      </c>
      <c r="J94" t="s">
        <v>719</v>
      </c>
      <c r="K94">
        <v>17</v>
      </c>
      <c r="L94">
        <v>3</v>
      </c>
      <c r="M9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Q10017.3</v>
      </c>
      <c r="N9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I.12.17.3</v>
      </c>
    </row>
    <row r="95" spans="1:16" x14ac:dyDescent="0.25">
      <c r="A95" t="s">
        <v>315</v>
      </c>
      <c r="I95" t="s">
        <v>718</v>
      </c>
      <c r="J95" t="s">
        <v>719</v>
      </c>
      <c r="K95">
        <v>17</v>
      </c>
      <c r="L95">
        <v>4</v>
      </c>
      <c r="M9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Q10017.4</v>
      </c>
      <c r="N9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I.12.17.4</v>
      </c>
    </row>
    <row r="96" spans="1:16" x14ac:dyDescent="0.25">
      <c r="A96" t="s">
        <v>315</v>
      </c>
      <c r="I96" t="s">
        <v>718</v>
      </c>
      <c r="J96" t="s">
        <v>719</v>
      </c>
      <c r="K96">
        <v>17</v>
      </c>
      <c r="L96">
        <v>5</v>
      </c>
      <c r="M9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Q10017.5</v>
      </c>
      <c r="N9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I.12.17.5</v>
      </c>
    </row>
    <row r="97" spans="1:16" x14ac:dyDescent="0.25">
      <c r="A97" t="s">
        <v>315</v>
      </c>
      <c r="I97" t="s">
        <v>718</v>
      </c>
      <c r="J97" t="s">
        <v>719</v>
      </c>
      <c r="K97">
        <v>17</v>
      </c>
      <c r="L97">
        <v>6</v>
      </c>
      <c r="M9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Q10017.6</v>
      </c>
      <c r="N9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I.12.17.6</v>
      </c>
    </row>
    <row r="98" spans="1:16" x14ac:dyDescent="0.25">
      <c r="A98" t="s">
        <v>315</v>
      </c>
      <c r="I98" t="s">
        <v>718</v>
      </c>
      <c r="J98" t="s">
        <v>719</v>
      </c>
      <c r="K98">
        <v>17</v>
      </c>
      <c r="L98">
        <v>7</v>
      </c>
      <c r="M9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Q10017.7</v>
      </c>
      <c r="N9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I.12.17.7</v>
      </c>
    </row>
    <row r="100" spans="1:16" x14ac:dyDescent="0.25">
      <c r="A100" t="s">
        <v>319</v>
      </c>
      <c r="B100" t="s">
        <v>757</v>
      </c>
      <c r="C100" t="s">
        <v>459</v>
      </c>
      <c r="D100" t="s">
        <v>549</v>
      </c>
      <c r="E100" t="s">
        <v>313</v>
      </c>
      <c r="F100" t="s">
        <v>316</v>
      </c>
      <c r="G100" t="s">
        <v>115</v>
      </c>
      <c r="H100" t="s">
        <v>113</v>
      </c>
      <c r="I100" t="s">
        <v>718</v>
      </c>
      <c r="J100" t="s">
        <v>719</v>
      </c>
      <c r="K100">
        <v>18</v>
      </c>
      <c r="L100">
        <v>0</v>
      </c>
      <c r="M10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Q10018.0</v>
      </c>
      <c r="N10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I.12.18.0</v>
      </c>
      <c r="O100" t="s">
        <v>758</v>
      </c>
      <c r="P100" t="s">
        <v>759</v>
      </c>
    </row>
    <row r="101" spans="1:16" x14ac:dyDescent="0.25">
      <c r="A101" t="s">
        <v>319</v>
      </c>
      <c r="I101" t="s">
        <v>718</v>
      </c>
      <c r="J101" t="s">
        <v>719</v>
      </c>
      <c r="K101">
        <v>18</v>
      </c>
      <c r="L101">
        <v>1</v>
      </c>
      <c r="M10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Q10018.1</v>
      </c>
      <c r="N10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I.12.18.1</v>
      </c>
    </row>
    <row r="102" spans="1:16" x14ac:dyDescent="0.25">
      <c r="A102" t="s">
        <v>319</v>
      </c>
      <c r="I102" t="s">
        <v>718</v>
      </c>
      <c r="J102" t="s">
        <v>719</v>
      </c>
      <c r="K102">
        <v>18</v>
      </c>
      <c r="L102">
        <v>2</v>
      </c>
      <c r="M10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Q10018.2</v>
      </c>
      <c r="N10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I.12.18.2</v>
      </c>
    </row>
    <row r="103" spans="1:16" x14ac:dyDescent="0.25">
      <c r="A103" t="s">
        <v>319</v>
      </c>
      <c r="I103" t="s">
        <v>718</v>
      </c>
      <c r="J103" t="s">
        <v>719</v>
      </c>
      <c r="K103">
        <v>18</v>
      </c>
      <c r="L103">
        <v>3</v>
      </c>
      <c r="M10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Q10018.3</v>
      </c>
      <c r="N10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I.12.18.3</v>
      </c>
    </row>
    <row r="104" spans="1:16" x14ac:dyDescent="0.25">
      <c r="A104" t="s">
        <v>319</v>
      </c>
      <c r="I104" t="s">
        <v>718</v>
      </c>
      <c r="J104" t="s">
        <v>719</v>
      </c>
      <c r="K104">
        <v>18</v>
      </c>
      <c r="L104">
        <v>4</v>
      </c>
      <c r="M10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Q10018.4</v>
      </c>
      <c r="N10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I.12.18.4</v>
      </c>
    </row>
    <row r="105" spans="1:16" x14ac:dyDescent="0.25">
      <c r="A105" t="s">
        <v>319</v>
      </c>
      <c r="I105" t="s">
        <v>718</v>
      </c>
      <c r="J105" t="s">
        <v>719</v>
      </c>
      <c r="K105">
        <v>18</v>
      </c>
      <c r="L105">
        <v>5</v>
      </c>
      <c r="M10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Q10018.5</v>
      </c>
      <c r="N10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I.12.18.5</v>
      </c>
    </row>
    <row r="106" spans="1:16" x14ac:dyDescent="0.25">
      <c r="A106" t="s">
        <v>319</v>
      </c>
      <c r="I106" t="s">
        <v>718</v>
      </c>
      <c r="J106" t="s">
        <v>719</v>
      </c>
      <c r="K106">
        <v>18</v>
      </c>
      <c r="L106">
        <v>6</v>
      </c>
      <c r="M10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Q10018.6</v>
      </c>
      <c r="N10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I.12.18.6</v>
      </c>
    </row>
    <row r="107" spans="1:16" x14ac:dyDescent="0.25">
      <c r="A107" t="s">
        <v>319</v>
      </c>
      <c r="I107" t="s">
        <v>718</v>
      </c>
      <c r="J107" t="s">
        <v>719</v>
      </c>
      <c r="K107">
        <v>18</v>
      </c>
      <c r="L107">
        <v>7</v>
      </c>
      <c r="M10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Q10018.7</v>
      </c>
      <c r="N10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I.12.18.7</v>
      </c>
    </row>
    <row r="108" spans="1:16" x14ac:dyDescent="0.25">
      <c r="A108" t="s">
        <v>319</v>
      </c>
      <c r="I108" t="s">
        <v>718</v>
      </c>
      <c r="J108" t="s">
        <v>719</v>
      </c>
      <c r="K108">
        <v>19</v>
      </c>
      <c r="L108">
        <v>0</v>
      </c>
      <c r="M10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Q10019.0</v>
      </c>
      <c r="N10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I.12.19.0</v>
      </c>
    </row>
    <row r="109" spans="1:16" x14ac:dyDescent="0.25">
      <c r="A109" t="s">
        <v>319</v>
      </c>
      <c r="I109" t="s">
        <v>718</v>
      </c>
      <c r="J109" t="s">
        <v>719</v>
      </c>
      <c r="K109">
        <v>19</v>
      </c>
      <c r="L109">
        <v>1</v>
      </c>
      <c r="M10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Q10019.1</v>
      </c>
      <c r="N10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I.12.19.1</v>
      </c>
    </row>
    <row r="110" spans="1:16" x14ac:dyDescent="0.25">
      <c r="A110" t="s">
        <v>319</v>
      </c>
      <c r="I110" t="s">
        <v>718</v>
      </c>
      <c r="J110" t="s">
        <v>719</v>
      </c>
      <c r="K110">
        <v>19</v>
      </c>
      <c r="L110">
        <v>2</v>
      </c>
      <c r="M11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Q10019.2</v>
      </c>
      <c r="N11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I.12.19.2</v>
      </c>
    </row>
    <row r="111" spans="1:16" x14ac:dyDescent="0.25">
      <c r="A111" t="s">
        <v>319</v>
      </c>
      <c r="I111" t="s">
        <v>718</v>
      </c>
      <c r="J111" t="s">
        <v>719</v>
      </c>
      <c r="K111">
        <v>19</v>
      </c>
      <c r="L111">
        <v>3</v>
      </c>
      <c r="M11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Q10019.3</v>
      </c>
      <c r="N11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I.12.19.3</v>
      </c>
    </row>
    <row r="112" spans="1:16" x14ac:dyDescent="0.25">
      <c r="A112" t="s">
        <v>319</v>
      </c>
      <c r="I112" t="s">
        <v>718</v>
      </c>
      <c r="J112" t="s">
        <v>719</v>
      </c>
      <c r="K112">
        <v>19</v>
      </c>
      <c r="L112">
        <v>4</v>
      </c>
      <c r="M11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Q10019.4</v>
      </c>
      <c r="N11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I.12.19.4</v>
      </c>
    </row>
    <row r="113" spans="1:16" x14ac:dyDescent="0.25">
      <c r="A113" t="s">
        <v>319</v>
      </c>
      <c r="I113" t="s">
        <v>718</v>
      </c>
      <c r="J113" t="s">
        <v>719</v>
      </c>
      <c r="K113">
        <v>19</v>
      </c>
      <c r="L113">
        <v>5</v>
      </c>
      <c r="M11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Q10019.5</v>
      </c>
      <c r="N11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I.12.19.5</v>
      </c>
    </row>
    <row r="114" spans="1:16" x14ac:dyDescent="0.25">
      <c r="A114" t="s">
        <v>319</v>
      </c>
      <c r="I114" t="s">
        <v>718</v>
      </c>
      <c r="J114" t="s">
        <v>719</v>
      </c>
      <c r="K114">
        <v>19</v>
      </c>
      <c r="L114">
        <v>6</v>
      </c>
      <c r="M11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Q10019.6</v>
      </c>
      <c r="N11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I.12.19.6</v>
      </c>
    </row>
    <row r="115" spans="1:16" x14ac:dyDescent="0.25">
      <c r="A115" t="s">
        <v>319</v>
      </c>
      <c r="I115" t="s">
        <v>718</v>
      </c>
      <c r="J115" t="s">
        <v>719</v>
      </c>
      <c r="K115">
        <v>19</v>
      </c>
      <c r="L115">
        <v>7</v>
      </c>
      <c r="M11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Q10019.7</v>
      </c>
      <c r="N11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I.12.19.7</v>
      </c>
    </row>
    <row r="117" spans="1:16" x14ac:dyDescent="0.25">
      <c r="A117" t="s">
        <v>369</v>
      </c>
      <c r="B117" t="s">
        <v>760</v>
      </c>
      <c r="C117" t="s">
        <v>459</v>
      </c>
      <c r="D117" t="s">
        <v>593</v>
      </c>
      <c r="E117" t="s">
        <v>367</v>
      </c>
      <c r="F117" t="s">
        <v>370</v>
      </c>
      <c r="G117" t="s">
        <v>57</v>
      </c>
      <c r="H117" t="s">
        <v>113</v>
      </c>
      <c r="I117" t="s">
        <v>718</v>
      </c>
      <c r="J117" t="s">
        <v>719</v>
      </c>
      <c r="K117">
        <v>20</v>
      </c>
      <c r="L117">
        <v>0</v>
      </c>
      <c r="M11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Q10020.0</v>
      </c>
      <c r="N11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I.12.20.0</v>
      </c>
      <c r="O117" t="s">
        <v>761</v>
      </c>
      <c r="P117" t="s">
        <v>762</v>
      </c>
    </row>
    <row r="118" spans="1:16" x14ac:dyDescent="0.25">
      <c r="A118" t="s">
        <v>369</v>
      </c>
      <c r="B118" t="s">
        <v>763</v>
      </c>
      <c r="C118" t="s">
        <v>459</v>
      </c>
      <c r="D118" t="s">
        <v>596</v>
      </c>
      <c r="E118" t="s">
        <v>367</v>
      </c>
      <c r="F118" t="s">
        <v>370</v>
      </c>
      <c r="G118" t="s">
        <v>57</v>
      </c>
      <c r="H118" t="s">
        <v>125</v>
      </c>
      <c r="I118" t="s">
        <v>718</v>
      </c>
      <c r="J118" t="s">
        <v>719</v>
      </c>
      <c r="K118">
        <v>20</v>
      </c>
      <c r="L118">
        <v>1</v>
      </c>
      <c r="M11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Q10020.1</v>
      </c>
      <c r="N11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I.12.20.1</v>
      </c>
      <c r="O118" t="s">
        <v>761</v>
      </c>
      <c r="P118" t="s">
        <v>764</v>
      </c>
    </row>
    <row r="119" spans="1:16" x14ac:dyDescent="0.25">
      <c r="A119" t="s">
        <v>369</v>
      </c>
      <c r="B119" t="s">
        <v>765</v>
      </c>
      <c r="C119" t="s">
        <v>45</v>
      </c>
      <c r="D119" t="s">
        <v>366</v>
      </c>
      <c r="E119" t="s">
        <v>367</v>
      </c>
      <c r="F119" t="s">
        <v>370</v>
      </c>
      <c r="G119" t="s">
        <v>57</v>
      </c>
      <c r="H119" t="s">
        <v>137</v>
      </c>
      <c r="I119" t="s">
        <v>718</v>
      </c>
      <c r="J119" t="s">
        <v>719</v>
      </c>
      <c r="K119">
        <v>20</v>
      </c>
      <c r="L119">
        <v>2</v>
      </c>
      <c r="M11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Q10020.2</v>
      </c>
      <c r="N11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I.12.20.2</v>
      </c>
      <c r="O119" t="s">
        <v>761</v>
      </c>
      <c r="P119" t="s">
        <v>766</v>
      </c>
    </row>
    <row r="120" spans="1:16" x14ac:dyDescent="0.25">
      <c r="A120" t="s">
        <v>369</v>
      </c>
      <c r="B120" t="s">
        <v>767</v>
      </c>
      <c r="C120" t="s">
        <v>45</v>
      </c>
      <c r="D120" t="s">
        <v>374</v>
      </c>
      <c r="E120" t="s">
        <v>367</v>
      </c>
      <c r="F120" t="s">
        <v>370</v>
      </c>
      <c r="G120" t="s">
        <v>57</v>
      </c>
      <c r="H120" t="s">
        <v>375</v>
      </c>
      <c r="I120" t="s">
        <v>718</v>
      </c>
      <c r="J120" t="s">
        <v>719</v>
      </c>
      <c r="K120">
        <v>20</v>
      </c>
      <c r="L120">
        <v>3</v>
      </c>
      <c r="M12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Q10020.3</v>
      </c>
      <c r="N12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I.12.20.3</v>
      </c>
      <c r="O120" t="s">
        <v>761</v>
      </c>
      <c r="P120" t="s">
        <v>768</v>
      </c>
    </row>
    <row r="121" spans="1:16" x14ac:dyDescent="0.25">
      <c r="A121" t="s">
        <v>369</v>
      </c>
      <c r="I121" t="s">
        <v>718</v>
      </c>
      <c r="J121" t="s">
        <v>719</v>
      </c>
      <c r="K121">
        <v>20</v>
      </c>
      <c r="L121">
        <v>4</v>
      </c>
      <c r="M12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Q10020.4</v>
      </c>
      <c r="N12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I.12.20.4</v>
      </c>
    </row>
    <row r="122" spans="1:16" x14ac:dyDescent="0.25">
      <c r="A122" t="s">
        <v>369</v>
      </c>
      <c r="I122" t="s">
        <v>718</v>
      </c>
      <c r="J122" t="s">
        <v>719</v>
      </c>
      <c r="K122">
        <v>20</v>
      </c>
      <c r="L122">
        <v>5</v>
      </c>
      <c r="M12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Q10020.5</v>
      </c>
      <c r="N12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I.12.20.5</v>
      </c>
    </row>
    <row r="123" spans="1:16" x14ac:dyDescent="0.25">
      <c r="A123" t="s">
        <v>369</v>
      </c>
      <c r="I123" t="s">
        <v>718</v>
      </c>
      <c r="J123" t="s">
        <v>719</v>
      </c>
      <c r="K123">
        <v>20</v>
      </c>
      <c r="L123">
        <v>6</v>
      </c>
      <c r="M12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Q10020.6</v>
      </c>
      <c r="N12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I.12.20.6</v>
      </c>
    </row>
    <row r="124" spans="1:16" x14ac:dyDescent="0.25">
      <c r="A124" t="s">
        <v>369</v>
      </c>
      <c r="I124" t="s">
        <v>718</v>
      </c>
      <c r="J124" t="s">
        <v>719</v>
      </c>
      <c r="K124">
        <v>20</v>
      </c>
      <c r="L124">
        <v>7</v>
      </c>
      <c r="M12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Q10020.7</v>
      </c>
      <c r="N12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I.12.20.7</v>
      </c>
    </row>
    <row r="125" spans="1:16" x14ac:dyDescent="0.25">
      <c r="A125" t="s">
        <v>369</v>
      </c>
      <c r="I125" t="s">
        <v>718</v>
      </c>
      <c r="J125" t="s">
        <v>719</v>
      </c>
      <c r="K125">
        <v>21</v>
      </c>
      <c r="L125">
        <v>0</v>
      </c>
      <c r="M12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Q10021.0</v>
      </c>
      <c r="N12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I.12.21.0</v>
      </c>
    </row>
    <row r="126" spans="1:16" x14ac:dyDescent="0.25">
      <c r="A126" t="s">
        <v>369</v>
      </c>
      <c r="I126" t="s">
        <v>718</v>
      </c>
      <c r="J126" t="s">
        <v>719</v>
      </c>
      <c r="K126">
        <v>21</v>
      </c>
      <c r="L126">
        <v>1</v>
      </c>
      <c r="M12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Q10021.1</v>
      </c>
      <c r="N12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I.12.21.1</v>
      </c>
    </row>
    <row r="127" spans="1:16" x14ac:dyDescent="0.25">
      <c r="A127" t="s">
        <v>369</v>
      </c>
      <c r="I127" t="s">
        <v>718</v>
      </c>
      <c r="J127" t="s">
        <v>719</v>
      </c>
      <c r="K127">
        <v>21</v>
      </c>
      <c r="L127">
        <v>2</v>
      </c>
      <c r="M12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Q10021.2</v>
      </c>
      <c r="N12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I.12.21.2</v>
      </c>
    </row>
    <row r="128" spans="1:16" x14ac:dyDescent="0.25">
      <c r="A128" t="s">
        <v>369</v>
      </c>
      <c r="I128" t="s">
        <v>718</v>
      </c>
      <c r="J128" t="s">
        <v>719</v>
      </c>
      <c r="K128">
        <v>21</v>
      </c>
      <c r="L128">
        <v>3</v>
      </c>
      <c r="M12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Q10021.3</v>
      </c>
      <c r="N12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I.12.21.3</v>
      </c>
    </row>
    <row r="129" spans="1:16" x14ac:dyDescent="0.25">
      <c r="A129" t="s">
        <v>369</v>
      </c>
      <c r="I129" t="s">
        <v>718</v>
      </c>
      <c r="J129" t="s">
        <v>719</v>
      </c>
      <c r="K129">
        <v>21</v>
      </c>
      <c r="L129">
        <v>4</v>
      </c>
      <c r="M12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Q10021.4</v>
      </c>
      <c r="N12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I.12.21.4</v>
      </c>
    </row>
    <row r="130" spans="1:16" x14ac:dyDescent="0.25">
      <c r="A130" t="s">
        <v>369</v>
      </c>
      <c r="I130" t="s">
        <v>718</v>
      </c>
      <c r="J130" t="s">
        <v>719</v>
      </c>
      <c r="K130">
        <v>21</v>
      </c>
      <c r="L130">
        <v>5</v>
      </c>
      <c r="M13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Q10021.5</v>
      </c>
      <c r="N13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I.12.21.5</v>
      </c>
    </row>
    <row r="131" spans="1:16" x14ac:dyDescent="0.25">
      <c r="A131" t="s">
        <v>369</v>
      </c>
      <c r="I131" t="s">
        <v>718</v>
      </c>
      <c r="J131" t="s">
        <v>719</v>
      </c>
      <c r="K131">
        <v>21</v>
      </c>
      <c r="L131">
        <v>6</v>
      </c>
      <c r="M13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Q10021.6</v>
      </c>
      <c r="N13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I.12.21.6</v>
      </c>
    </row>
    <row r="132" spans="1:16" x14ac:dyDescent="0.25">
      <c r="A132" t="s">
        <v>369</v>
      </c>
      <c r="I132" t="s">
        <v>718</v>
      </c>
      <c r="J132" t="s">
        <v>719</v>
      </c>
      <c r="K132">
        <v>21</v>
      </c>
      <c r="L132">
        <v>7</v>
      </c>
      <c r="M13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Q10021.7</v>
      </c>
      <c r="N13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I.12.21.7</v>
      </c>
    </row>
    <row r="134" spans="1:16" x14ac:dyDescent="0.25">
      <c r="A134" t="s">
        <v>769</v>
      </c>
      <c r="B134" t="s">
        <v>770</v>
      </c>
      <c r="C134" t="s">
        <v>459</v>
      </c>
      <c r="D134" t="s">
        <v>593</v>
      </c>
      <c r="E134" t="s">
        <v>367</v>
      </c>
      <c r="F134" t="s">
        <v>370</v>
      </c>
      <c r="G134" t="s">
        <v>57</v>
      </c>
      <c r="H134" t="s">
        <v>113</v>
      </c>
      <c r="I134" t="s">
        <v>718</v>
      </c>
      <c r="J134" t="s">
        <v>719</v>
      </c>
      <c r="K134">
        <v>22</v>
      </c>
      <c r="L134">
        <v>0</v>
      </c>
      <c r="M13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Q10022.0</v>
      </c>
      <c r="N13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I.12.22.0</v>
      </c>
      <c r="O134" t="s">
        <v>771</v>
      </c>
      <c r="P134" t="s">
        <v>772</v>
      </c>
    </row>
    <row r="135" spans="1:16" x14ac:dyDescent="0.25">
      <c r="A135" t="s">
        <v>769</v>
      </c>
      <c r="B135" t="s">
        <v>773</v>
      </c>
      <c r="C135" t="s">
        <v>459</v>
      </c>
      <c r="D135" t="s">
        <v>596</v>
      </c>
      <c r="E135" t="s">
        <v>367</v>
      </c>
      <c r="F135" t="s">
        <v>370</v>
      </c>
      <c r="G135" t="s">
        <v>57</v>
      </c>
      <c r="H135" t="s">
        <v>125</v>
      </c>
      <c r="I135" t="s">
        <v>718</v>
      </c>
      <c r="J135" t="s">
        <v>719</v>
      </c>
      <c r="K135">
        <v>22</v>
      </c>
      <c r="L135">
        <v>1</v>
      </c>
      <c r="M13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Q10022.1</v>
      </c>
      <c r="N13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I.12.22.1</v>
      </c>
      <c r="O135" t="s">
        <v>774</v>
      </c>
      <c r="P135" t="s">
        <v>775</v>
      </c>
    </row>
    <row r="136" spans="1:16" x14ac:dyDescent="0.25">
      <c r="A136" t="s">
        <v>769</v>
      </c>
      <c r="B136" t="s">
        <v>776</v>
      </c>
      <c r="C136" t="s">
        <v>45</v>
      </c>
      <c r="D136" t="s">
        <v>366</v>
      </c>
      <c r="E136" t="s">
        <v>367</v>
      </c>
      <c r="F136" t="s">
        <v>370</v>
      </c>
      <c r="G136" t="s">
        <v>57</v>
      </c>
      <c r="H136" t="s">
        <v>137</v>
      </c>
      <c r="I136" t="s">
        <v>718</v>
      </c>
      <c r="J136" t="s">
        <v>719</v>
      </c>
      <c r="K136">
        <v>22</v>
      </c>
      <c r="L136">
        <v>2</v>
      </c>
      <c r="M13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Q10022.2</v>
      </c>
      <c r="N13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I.12.22.2</v>
      </c>
      <c r="O136" t="s">
        <v>777</v>
      </c>
      <c r="P136" t="s">
        <v>778</v>
      </c>
    </row>
    <row r="137" spans="1:16" x14ac:dyDescent="0.25">
      <c r="A137" t="s">
        <v>769</v>
      </c>
      <c r="B137" t="s">
        <v>779</v>
      </c>
      <c r="C137" t="s">
        <v>45</v>
      </c>
      <c r="D137" t="s">
        <v>374</v>
      </c>
      <c r="E137" t="s">
        <v>367</v>
      </c>
      <c r="F137" t="s">
        <v>370</v>
      </c>
      <c r="G137" t="s">
        <v>57</v>
      </c>
      <c r="H137" t="s">
        <v>375</v>
      </c>
      <c r="I137" t="s">
        <v>718</v>
      </c>
      <c r="J137" t="s">
        <v>719</v>
      </c>
      <c r="K137">
        <v>22</v>
      </c>
      <c r="L137">
        <v>3</v>
      </c>
      <c r="M13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Q10022.3</v>
      </c>
      <c r="N13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I.12.22.3</v>
      </c>
      <c r="O137" t="s">
        <v>780</v>
      </c>
      <c r="P137" t="s">
        <v>781</v>
      </c>
    </row>
    <row r="138" spans="1:16" x14ac:dyDescent="0.25">
      <c r="A138" t="s">
        <v>769</v>
      </c>
      <c r="I138" t="s">
        <v>718</v>
      </c>
      <c r="J138" t="s">
        <v>719</v>
      </c>
      <c r="K138">
        <v>22</v>
      </c>
      <c r="L138">
        <v>4</v>
      </c>
      <c r="M13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Q10022.4</v>
      </c>
      <c r="N13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I.12.22.4</v>
      </c>
    </row>
    <row r="139" spans="1:16" x14ac:dyDescent="0.25">
      <c r="A139" t="s">
        <v>769</v>
      </c>
      <c r="I139" t="s">
        <v>718</v>
      </c>
      <c r="J139" t="s">
        <v>719</v>
      </c>
      <c r="K139">
        <v>22</v>
      </c>
      <c r="L139">
        <v>5</v>
      </c>
      <c r="M13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Q10022.5</v>
      </c>
      <c r="N13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I.12.22.5</v>
      </c>
    </row>
    <row r="140" spans="1:16" x14ac:dyDescent="0.25">
      <c r="A140" t="s">
        <v>769</v>
      </c>
      <c r="I140" t="s">
        <v>718</v>
      </c>
      <c r="J140" t="s">
        <v>719</v>
      </c>
      <c r="K140">
        <v>22</v>
      </c>
      <c r="L140">
        <v>6</v>
      </c>
      <c r="M14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Q10022.6</v>
      </c>
      <c r="N14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I.12.22.6</v>
      </c>
    </row>
    <row r="141" spans="1:16" x14ac:dyDescent="0.25">
      <c r="A141" t="s">
        <v>769</v>
      </c>
      <c r="I141" t="s">
        <v>718</v>
      </c>
      <c r="J141" t="s">
        <v>719</v>
      </c>
      <c r="K141">
        <v>22</v>
      </c>
      <c r="L141">
        <v>7</v>
      </c>
      <c r="M14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Q10022.7</v>
      </c>
      <c r="N14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I.12.22.7</v>
      </c>
    </row>
    <row r="142" spans="1:16" x14ac:dyDescent="0.25">
      <c r="A142" t="s">
        <v>769</v>
      </c>
      <c r="I142" t="s">
        <v>718</v>
      </c>
      <c r="J142" t="s">
        <v>719</v>
      </c>
      <c r="K142">
        <v>23</v>
      </c>
      <c r="L142">
        <v>0</v>
      </c>
      <c r="M14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Q10023.0</v>
      </c>
      <c r="N14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I.12.23.0</v>
      </c>
    </row>
    <row r="143" spans="1:16" x14ac:dyDescent="0.25">
      <c r="A143" t="s">
        <v>769</v>
      </c>
      <c r="I143" t="s">
        <v>718</v>
      </c>
      <c r="J143" t="s">
        <v>719</v>
      </c>
      <c r="K143">
        <v>23</v>
      </c>
      <c r="L143">
        <v>1</v>
      </c>
      <c r="M14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Q10023.1</v>
      </c>
      <c r="N14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I.12.23.1</v>
      </c>
    </row>
    <row r="144" spans="1:16" x14ac:dyDescent="0.25">
      <c r="A144" t="s">
        <v>769</v>
      </c>
      <c r="I144" t="s">
        <v>718</v>
      </c>
      <c r="J144" t="s">
        <v>719</v>
      </c>
      <c r="K144">
        <v>23</v>
      </c>
      <c r="L144">
        <v>2</v>
      </c>
      <c r="M14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Q10023.2</v>
      </c>
      <c r="N14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I.12.23.2</v>
      </c>
    </row>
    <row r="145" spans="1:16" x14ac:dyDescent="0.25">
      <c r="A145" t="s">
        <v>769</v>
      </c>
      <c r="I145" t="s">
        <v>718</v>
      </c>
      <c r="J145" t="s">
        <v>719</v>
      </c>
      <c r="K145">
        <v>23</v>
      </c>
      <c r="L145">
        <v>3</v>
      </c>
      <c r="M14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Q10023.3</v>
      </c>
      <c r="N14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I.12.23.3</v>
      </c>
    </row>
    <row r="146" spans="1:16" x14ac:dyDescent="0.25">
      <c r="A146" t="s">
        <v>769</v>
      </c>
      <c r="I146" t="s">
        <v>718</v>
      </c>
      <c r="J146" t="s">
        <v>719</v>
      </c>
      <c r="K146">
        <v>23</v>
      </c>
      <c r="L146">
        <v>4</v>
      </c>
      <c r="M14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Q10023.4</v>
      </c>
      <c r="N14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I.12.23.4</v>
      </c>
    </row>
    <row r="147" spans="1:16" x14ac:dyDescent="0.25">
      <c r="A147" t="s">
        <v>769</v>
      </c>
      <c r="I147" t="s">
        <v>718</v>
      </c>
      <c r="J147" t="s">
        <v>719</v>
      </c>
      <c r="K147">
        <v>23</v>
      </c>
      <c r="L147">
        <v>5</v>
      </c>
      <c r="M14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Q10023.5</v>
      </c>
      <c r="N14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I.12.23.5</v>
      </c>
    </row>
    <row r="148" spans="1:16" x14ac:dyDescent="0.25">
      <c r="A148" t="s">
        <v>769</v>
      </c>
      <c r="I148" t="s">
        <v>718</v>
      </c>
      <c r="J148" t="s">
        <v>719</v>
      </c>
      <c r="K148">
        <v>23</v>
      </c>
      <c r="L148">
        <v>6</v>
      </c>
      <c r="M14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Q10023.6</v>
      </c>
      <c r="N14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I.12.23.6</v>
      </c>
    </row>
    <row r="149" spans="1:16" x14ac:dyDescent="0.25">
      <c r="A149" t="s">
        <v>769</v>
      </c>
      <c r="I149" t="s">
        <v>718</v>
      </c>
      <c r="J149" t="s">
        <v>719</v>
      </c>
      <c r="K149">
        <v>23</v>
      </c>
      <c r="L149">
        <v>7</v>
      </c>
      <c r="M14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Q10023.7</v>
      </c>
      <c r="N14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I.12.23.7</v>
      </c>
    </row>
    <row r="151" spans="1:16" x14ac:dyDescent="0.25">
      <c r="A151" t="s">
        <v>782</v>
      </c>
      <c r="B151" t="s">
        <v>783</v>
      </c>
      <c r="C151" t="s">
        <v>459</v>
      </c>
      <c r="D151" t="s">
        <v>549</v>
      </c>
      <c r="E151" t="s">
        <v>313</v>
      </c>
      <c r="F151" t="s">
        <v>316</v>
      </c>
      <c r="G151" t="s">
        <v>115</v>
      </c>
      <c r="H151" t="s">
        <v>108</v>
      </c>
      <c r="I151" t="s">
        <v>784</v>
      </c>
      <c r="J151" t="s">
        <v>719</v>
      </c>
      <c r="K151">
        <v>24</v>
      </c>
      <c r="M15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Q10024</v>
      </c>
      <c r="N15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I.12.24</v>
      </c>
      <c r="O151" t="s">
        <v>785</v>
      </c>
      <c r="P151" t="s">
        <v>783</v>
      </c>
    </row>
    <row r="153" spans="1:16" x14ac:dyDescent="0.25">
      <c r="A153" t="s">
        <v>786</v>
      </c>
      <c r="B153" t="s">
        <v>787</v>
      </c>
      <c r="C153" t="s">
        <v>459</v>
      </c>
      <c r="D153" t="s">
        <v>593</v>
      </c>
      <c r="E153" t="s">
        <v>367</v>
      </c>
      <c r="F153" t="s">
        <v>370</v>
      </c>
      <c r="G153" t="s">
        <v>57</v>
      </c>
      <c r="H153" t="s">
        <v>113</v>
      </c>
      <c r="I153" t="s">
        <v>718</v>
      </c>
      <c r="J153" t="s">
        <v>740</v>
      </c>
      <c r="K153">
        <v>10</v>
      </c>
      <c r="L153">
        <v>0</v>
      </c>
      <c r="M15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I10010.0</v>
      </c>
      <c r="N15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O.12.10.0</v>
      </c>
      <c r="O153" t="s">
        <v>788</v>
      </c>
      <c r="P153" t="s">
        <v>787</v>
      </c>
    </row>
    <row r="154" spans="1:16" x14ac:dyDescent="0.25">
      <c r="A154" t="s">
        <v>786</v>
      </c>
      <c r="B154" t="s">
        <v>789</v>
      </c>
      <c r="C154" t="s">
        <v>459</v>
      </c>
      <c r="D154" t="s">
        <v>596</v>
      </c>
      <c r="E154" t="s">
        <v>367</v>
      </c>
      <c r="F154" t="s">
        <v>370</v>
      </c>
      <c r="G154" t="s">
        <v>57</v>
      </c>
      <c r="H154" t="s">
        <v>125</v>
      </c>
      <c r="I154" t="s">
        <v>718</v>
      </c>
      <c r="J154" t="s">
        <v>740</v>
      </c>
      <c r="K154">
        <v>10</v>
      </c>
      <c r="L154">
        <v>1</v>
      </c>
      <c r="M15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I10010.1</v>
      </c>
      <c r="N15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O.12.10.1</v>
      </c>
      <c r="O154" t="s">
        <v>790</v>
      </c>
      <c r="P154" t="s">
        <v>789</v>
      </c>
    </row>
    <row r="155" spans="1:16" x14ac:dyDescent="0.25">
      <c r="A155" t="s">
        <v>786</v>
      </c>
      <c r="B155" t="s">
        <v>791</v>
      </c>
      <c r="C155" t="s">
        <v>45</v>
      </c>
      <c r="D155" t="s">
        <v>366</v>
      </c>
      <c r="E155" t="s">
        <v>367</v>
      </c>
      <c r="F155" t="s">
        <v>370</v>
      </c>
      <c r="G155" t="s">
        <v>57</v>
      </c>
      <c r="H155" t="s">
        <v>137</v>
      </c>
      <c r="I155" t="s">
        <v>718</v>
      </c>
      <c r="J155" t="s">
        <v>740</v>
      </c>
      <c r="K155">
        <v>10</v>
      </c>
      <c r="L155">
        <v>2</v>
      </c>
      <c r="M15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I10010.2</v>
      </c>
      <c r="N15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O.12.10.2</v>
      </c>
      <c r="O155" t="s">
        <v>792</v>
      </c>
      <c r="P155" t="s">
        <v>791</v>
      </c>
    </row>
    <row r="156" spans="1:16" x14ac:dyDescent="0.25">
      <c r="A156" t="s">
        <v>786</v>
      </c>
      <c r="B156" t="s">
        <v>793</v>
      </c>
      <c r="C156" t="s">
        <v>45</v>
      </c>
      <c r="D156" t="s">
        <v>374</v>
      </c>
      <c r="E156" t="s">
        <v>367</v>
      </c>
      <c r="F156" t="s">
        <v>370</v>
      </c>
      <c r="G156" t="s">
        <v>57</v>
      </c>
      <c r="H156" t="s">
        <v>375</v>
      </c>
      <c r="I156" t="s">
        <v>718</v>
      </c>
      <c r="J156" t="s">
        <v>740</v>
      </c>
      <c r="K156">
        <v>10</v>
      </c>
      <c r="L156">
        <v>3</v>
      </c>
      <c r="M15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I10010.3</v>
      </c>
      <c r="N15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O.12.10.3</v>
      </c>
      <c r="O156" t="s">
        <v>794</v>
      </c>
      <c r="P156" t="s">
        <v>793</v>
      </c>
    </row>
    <row r="157" spans="1:16" x14ac:dyDescent="0.25">
      <c r="A157" t="s">
        <v>786</v>
      </c>
      <c r="I157" t="s">
        <v>718</v>
      </c>
      <c r="J157" t="s">
        <v>740</v>
      </c>
      <c r="K157">
        <v>10</v>
      </c>
      <c r="L157">
        <v>4</v>
      </c>
      <c r="M15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I10010.4</v>
      </c>
      <c r="N15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O.12.10.4</v>
      </c>
    </row>
    <row r="158" spans="1:16" x14ac:dyDescent="0.25">
      <c r="A158" t="s">
        <v>786</v>
      </c>
      <c r="I158" t="s">
        <v>718</v>
      </c>
      <c r="J158" t="s">
        <v>740</v>
      </c>
      <c r="K158">
        <v>10</v>
      </c>
      <c r="L158">
        <v>5</v>
      </c>
      <c r="M15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I10010.5</v>
      </c>
      <c r="N15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O.12.10.5</v>
      </c>
    </row>
    <row r="159" spans="1:16" x14ac:dyDescent="0.25">
      <c r="A159" t="s">
        <v>786</v>
      </c>
      <c r="I159" t="s">
        <v>718</v>
      </c>
      <c r="J159" t="s">
        <v>740</v>
      </c>
      <c r="K159">
        <v>10</v>
      </c>
      <c r="L159">
        <v>6</v>
      </c>
      <c r="M159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I10010.6</v>
      </c>
      <c r="N159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O.12.10.6</v>
      </c>
    </row>
    <row r="160" spans="1:16" x14ac:dyDescent="0.25">
      <c r="A160" t="s">
        <v>786</v>
      </c>
      <c r="I160" t="s">
        <v>718</v>
      </c>
      <c r="J160" t="s">
        <v>740</v>
      </c>
      <c r="K160">
        <v>10</v>
      </c>
      <c r="L160">
        <v>7</v>
      </c>
      <c r="M160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I10010.7</v>
      </c>
      <c r="N160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O.12.10.7</v>
      </c>
    </row>
    <row r="161" spans="1:14" x14ac:dyDescent="0.25">
      <c r="A161" t="s">
        <v>786</v>
      </c>
      <c r="I161" t="s">
        <v>718</v>
      </c>
      <c r="J161" t="s">
        <v>740</v>
      </c>
      <c r="K161">
        <v>11</v>
      </c>
      <c r="L161">
        <v>0</v>
      </c>
      <c r="M161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I10011.0</v>
      </c>
      <c r="N161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O.12.11.0</v>
      </c>
    </row>
    <row r="162" spans="1:14" x14ac:dyDescent="0.25">
      <c r="A162" t="s">
        <v>786</v>
      </c>
      <c r="I162" t="s">
        <v>718</v>
      </c>
      <c r="J162" t="s">
        <v>740</v>
      </c>
      <c r="K162">
        <v>11</v>
      </c>
      <c r="L162">
        <v>1</v>
      </c>
      <c r="M162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I10011.1</v>
      </c>
      <c r="N162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O.12.11.1</v>
      </c>
    </row>
    <row r="163" spans="1:14" x14ac:dyDescent="0.25">
      <c r="A163" t="s">
        <v>786</v>
      </c>
      <c r="I163" t="s">
        <v>718</v>
      </c>
      <c r="J163" t="s">
        <v>740</v>
      </c>
      <c r="K163">
        <v>11</v>
      </c>
      <c r="L163">
        <v>2</v>
      </c>
      <c r="M163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I10011.2</v>
      </c>
      <c r="N163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O.12.11.2</v>
      </c>
    </row>
    <row r="164" spans="1:14" x14ac:dyDescent="0.25">
      <c r="A164" t="s">
        <v>786</v>
      </c>
      <c r="I164" t="s">
        <v>718</v>
      </c>
      <c r="J164" t="s">
        <v>740</v>
      </c>
      <c r="K164">
        <v>11</v>
      </c>
      <c r="L164">
        <v>3</v>
      </c>
      <c r="M164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I10011.3</v>
      </c>
      <c r="N164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O.12.11.3</v>
      </c>
    </row>
    <row r="165" spans="1:14" x14ac:dyDescent="0.25">
      <c r="A165" t="s">
        <v>786</v>
      </c>
      <c r="I165" t="s">
        <v>718</v>
      </c>
      <c r="J165" t="s">
        <v>740</v>
      </c>
      <c r="K165">
        <v>11</v>
      </c>
      <c r="L165">
        <v>4</v>
      </c>
      <c r="M165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I10011.4</v>
      </c>
      <c r="N165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O.12.11.4</v>
      </c>
    </row>
    <row r="166" spans="1:14" x14ac:dyDescent="0.25">
      <c r="A166" t="s">
        <v>786</v>
      </c>
      <c r="I166" t="s">
        <v>718</v>
      </c>
      <c r="J166" t="s">
        <v>740</v>
      </c>
      <c r="K166">
        <v>11</v>
      </c>
      <c r="L166">
        <v>5</v>
      </c>
      <c r="M166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I10011.5</v>
      </c>
      <c r="N166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O.12.11.5</v>
      </c>
    </row>
    <row r="167" spans="1:14" x14ac:dyDescent="0.25">
      <c r="A167" t="s">
        <v>786</v>
      </c>
      <c r="I167" t="s">
        <v>718</v>
      </c>
      <c r="J167" t="s">
        <v>740</v>
      </c>
      <c r="K167">
        <v>11</v>
      </c>
      <c r="L167">
        <v>6</v>
      </c>
      <c r="M167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I10011.6</v>
      </c>
      <c r="N167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O.12.11.6</v>
      </c>
    </row>
    <row r="168" spans="1:14" x14ac:dyDescent="0.25">
      <c r="A168" t="s">
        <v>786</v>
      </c>
      <c r="I168" t="s">
        <v>718</v>
      </c>
      <c r="J168" t="s">
        <v>740</v>
      </c>
      <c r="K168">
        <v>11</v>
      </c>
      <c r="L168">
        <v>7</v>
      </c>
      <c r="M168" t="str">
        <f>_xlfn.LET(
    _xlpm.iSynt, $AI$2,
    _xlpm.qSynt, $AJ$2,
    _xlpm.synt, IF(SORTER_SIGNALS_SORTER_01[[#This Row],[Direction &lt;/&gt;]] = "&lt;", _xlpm.iSynt, IF(SORTER_SIGNALS_SORTER_01[[#This Row],[Direction &lt;/&gt;]] = "&gt;",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$AH$2 + SORTER_SIGNALS_SORTER_01[[#This Row],[I/O Offset Byte]]
        ),
        ""
    )
)</f>
        <v>I10011.7</v>
      </c>
      <c r="N168" t="str">
        <f>_xlfn.LET(
    _xlpm.iSynt, $AI$3,
    _xlpm.qSynt, $AJ$3,
    _xlpm.synt, IF(SORTER_SIGNALS_SORTER_01[[#This Row],[Direction &lt;/&gt;]] = "&gt;", _xlpm.iSynt, IF(SORTER_SIGNALS_SORTER_01[[#This Row],[Direction &lt;/&gt;]] = "&lt;", _xlpm.qSynt, "")),
    IF(
        _xlpm.synt &lt;&gt; "",
        SUBSTITUTE(
            IF(
                SORTER_SIGNALS_SORTER_01[[#This Row],[Data Type]] = "BOOL",
                SUBSTITUTE(SUBSTITUTE(_xlpm.synt, "/", ""), "&lt;bit&gt;", SORTER_SIGNALS_SORTER_01[[#This Row],[I/O Bit]]),
                _xlfn.TEXTBEFORE(_xlpm.synt, "/")
            ),
            "&lt;base+offset&gt;",
            $AH$3 + SORTER_SIGNALS_SORTER_01[[#This Row],[I/O Offset Byte]]
        ),
        ""
    )
)</f>
        <v>O.12.11.7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56"/>
  <sheetViews>
    <sheetView tabSelected="1" topLeftCell="A56" workbookViewId="0">
      <selection activeCell="H69" sqref="H69"/>
    </sheetView>
  </sheetViews>
  <sheetFormatPr defaultRowHeight="15" x14ac:dyDescent="0.25"/>
  <cols>
    <col min="1" max="1" width="20.28515625" customWidth="1"/>
    <col min="2" max="2" width="86.42578125" bestFit="1" customWidth="1"/>
    <col min="3" max="3" width="9.28515625" customWidth="1"/>
    <col min="4" max="4" width="14.7109375" customWidth="1"/>
    <col min="5" max="5" width="10.28515625" bestFit="1" customWidth="1"/>
    <col min="6" max="6" width="5.85546875" customWidth="1"/>
    <col min="9" max="9" width="7.5703125" customWidth="1"/>
    <col min="11" max="11" width="8.7109375" customWidth="1"/>
    <col min="12" max="12" width="5.7109375" customWidth="1"/>
    <col min="13" max="13" width="18.140625" customWidth="1"/>
    <col min="14" max="14" width="16.140625" customWidth="1"/>
    <col min="15" max="15" width="114.85546875" bestFit="1" customWidth="1"/>
    <col min="16" max="16" width="88.28515625" bestFit="1" customWidth="1"/>
    <col min="17" max="17" width="23.28515625" customWidth="1"/>
    <col min="18" max="18" width="2.85546875" customWidth="1"/>
    <col min="31" max="31" width="8.5703125" customWidth="1"/>
    <col min="32" max="32" width="10.140625" customWidth="1"/>
    <col min="33" max="33" width="11.28515625" customWidth="1"/>
    <col min="34" max="34" width="10.28515625" customWidth="1"/>
    <col min="35" max="35" width="34" customWidth="1"/>
    <col min="36" max="36" width="35.7109375" customWidth="1"/>
  </cols>
  <sheetData>
    <row r="1" spans="1:36" ht="33" x14ac:dyDescent="0.25">
      <c r="A1" s="76" t="s">
        <v>698</v>
      </c>
      <c r="B1" s="76" t="s">
        <v>449</v>
      </c>
      <c r="C1" s="77" t="s">
        <v>629</v>
      </c>
      <c r="D1" s="77" t="s">
        <v>15</v>
      </c>
      <c r="E1" s="77" t="s">
        <v>16</v>
      </c>
      <c r="F1" s="78" t="s">
        <v>699</v>
      </c>
      <c r="G1" s="78" t="s">
        <v>700</v>
      </c>
      <c r="H1" s="78" t="s">
        <v>701</v>
      </c>
      <c r="I1" s="79" t="s">
        <v>702</v>
      </c>
      <c r="J1" s="79" t="s">
        <v>703</v>
      </c>
      <c r="K1" s="77" t="s">
        <v>704</v>
      </c>
      <c r="L1" s="77" t="s">
        <v>705</v>
      </c>
      <c r="M1" s="77" t="s">
        <v>706</v>
      </c>
      <c r="N1" s="77" t="s">
        <v>707</v>
      </c>
      <c r="O1" s="76" t="s">
        <v>708</v>
      </c>
      <c r="P1" s="76" t="s">
        <v>709</v>
      </c>
      <c r="Q1" s="76" t="s">
        <v>710</v>
      </c>
      <c r="AE1" s="76" t="s">
        <v>711</v>
      </c>
      <c r="AF1" s="76" t="s">
        <v>29</v>
      </c>
      <c r="AG1" s="76" t="s">
        <v>712</v>
      </c>
      <c r="AH1" s="76" t="s">
        <v>713</v>
      </c>
      <c r="AI1" s="76" t="s">
        <v>714</v>
      </c>
      <c r="AJ1" s="76" t="s">
        <v>715</v>
      </c>
    </row>
    <row r="2" spans="1:36" x14ac:dyDescent="0.25">
      <c r="A2" t="s">
        <v>716</v>
      </c>
      <c r="B2" t="s">
        <v>717</v>
      </c>
      <c r="I2" t="s">
        <v>718</v>
      </c>
      <c r="J2" s="80" t="s">
        <v>719</v>
      </c>
      <c r="K2" s="81">
        <v>0</v>
      </c>
      <c r="L2" s="81">
        <v>0</v>
      </c>
      <c r="M2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Q20000.0</v>
      </c>
      <c r="N2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I.13.0.0</v>
      </c>
      <c r="O2" t="s">
        <v>795</v>
      </c>
      <c r="P2" t="s">
        <v>721</v>
      </c>
      <c r="AE2" s="83">
        <v>1</v>
      </c>
      <c r="AF2" s="84" t="s">
        <v>119</v>
      </c>
      <c r="AG2" s="83">
        <v>10</v>
      </c>
      <c r="AH2" s="83">
        <v>20000</v>
      </c>
      <c r="AI2" s="83" t="s">
        <v>722</v>
      </c>
      <c r="AJ2" s="83" t="str">
        <f>SUBSTITUTE(SORTER_PARAMS_SORTER_DIAG_02[[#This Row],[Input Format]], "I", "Q")</f>
        <v>Q&lt;base+offset&gt;/.&lt;bit&gt;</v>
      </c>
    </row>
    <row r="3" spans="1:36" x14ac:dyDescent="0.25">
      <c r="A3" t="s">
        <v>723</v>
      </c>
      <c r="B3" t="s">
        <v>724</v>
      </c>
      <c r="I3" t="s">
        <v>718</v>
      </c>
      <c r="J3" s="80" t="s">
        <v>719</v>
      </c>
      <c r="K3" s="81">
        <v>1</v>
      </c>
      <c r="L3" s="81">
        <v>0</v>
      </c>
      <c r="M3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Q20001.0</v>
      </c>
      <c r="N3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I.13.1.0</v>
      </c>
      <c r="O3" t="s">
        <v>796</v>
      </c>
      <c r="AE3" s="83">
        <v>2</v>
      </c>
      <c r="AF3" s="84" t="s">
        <v>119</v>
      </c>
      <c r="AG3" s="83">
        <v>13</v>
      </c>
      <c r="AH3" s="83">
        <v>0</v>
      </c>
      <c r="AI3" s="83" t="str">
        <f>"I." &amp;SORTER_PARAMS_SORTER_DIAG_02[[#This Row],[Base Node]] &amp;".&lt;base+offset&gt;/.&lt;bit&gt;"</f>
        <v>I.13.&lt;base+offset&gt;/.&lt;bit&gt;</v>
      </c>
      <c r="AJ3" s="83" t="str">
        <f>SUBSTITUTE(SORTER_PARAMS_SORTER_DIAG_02[[#This Row],[Input Format]], "I", "O")</f>
        <v>O.13.&lt;base+offset&gt;/.&lt;bit&gt;</v>
      </c>
    </row>
    <row r="4" spans="1:36" x14ac:dyDescent="0.25">
      <c r="A4" t="s">
        <v>723</v>
      </c>
      <c r="B4" t="s">
        <v>726</v>
      </c>
      <c r="I4" t="s">
        <v>718</v>
      </c>
      <c r="J4" s="80" t="s">
        <v>719</v>
      </c>
      <c r="K4" s="85">
        <f>K3</f>
        <v>1</v>
      </c>
      <c r="L4" s="85">
        <f>L3+1</f>
        <v>1</v>
      </c>
      <c r="M4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Q20001.1</v>
      </c>
      <c r="N4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I.13.1.1</v>
      </c>
      <c r="O4" t="s">
        <v>797</v>
      </c>
    </row>
    <row r="5" spans="1:36" ht="16.5" x14ac:dyDescent="0.25">
      <c r="A5" t="s">
        <v>723</v>
      </c>
      <c r="B5" t="s">
        <v>728</v>
      </c>
      <c r="I5" t="s">
        <v>718</v>
      </c>
      <c r="J5" s="80" t="s">
        <v>719</v>
      </c>
      <c r="K5" s="85">
        <f>K4</f>
        <v>1</v>
      </c>
      <c r="L5" s="85">
        <f>L4+1</f>
        <v>2</v>
      </c>
      <c r="M5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Q20001.2</v>
      </c>
      <c r="N5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I.13.1.2</v>
      </c>
      <c r="O5" t="s">
        <v>798</v>
      </c>
      <c r="AE5" s="86" t="s">
        <v>730</v>
      </c>
      <c r="AF5" s="86" t="s">
        <v>731</v>
      </c>
      <c r="AG5" s="86" t="s">
        <v>732</v>
      </c>
      <c r="AH5" s="86" t="s">
        <v>733</v>
      </c>
      <c r="AI5" t="s">
        <v>734</v>
      </c>
      <c r="AJ5" t="s">
        <v>735</v>
      </c>
    </row>
    <row r="6" spans="1:36" x14ac:dyDescent="0.25">
      <c r="A6" t="s">
        <v>736</v>
      </c>
      <c r="I6" t="s">
        <v>718</v>
      </c>
      <c r="J6" s="80" t="s">
        <v>719</v>
      </c>
      <c r="K6" s="85">
        <f>K5</f>
        <v>1</v>
      </c>
      <c r="L6" s="85">
        <f>L5+1</f>
        <v>3</v>
      </c>
      <c r="M6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Q20001.3</v>
      </c>
      <c r="N6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I.13.1.3</v>
      </c>
      <c r="O6" t="s">
        <v>799</v>
      </c>
      <c r="AE6" s="87"/>
      <c r="AF6" s="87"/>
      <c r="AG6" s="87"/>
      <c r="AH6" s="87"/>
      <c r="AI6" s="87"/>
      <c r="AJ6" s="80"/>
    </row>
    <row r="7" spans="1:36" x14ac:dyDescent="0.25">
      <c r="J7" s="80"/>
      <c r="K7" s="85"/>
      <c r="L7" s="85"/>
      <c r="M7" s="82"/>
      <c r="N7" s="82"/>
    </row>
    <row r="8" spans="1:36" x14ac:dyDescent="0.25">
      <c r="A8" t="s">
        <v>738</v>
      </c>
      <c r="B8" t="s">
        <v>739</v>
      </c>
      <c r="I8" t="s">
        <v>718</v>
      </c>
      <c r="J8" s="80" t="s">
        <v>740</v>
      </c>
      <c r="K8" s="85">
        <v>0</v>
      </c>
      <c r="L8" s="85">
        <v>0</v>
      </c>
      <c r="M8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I20000.0</v>
      </c>
      <c r="N8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O.13.0.0</v>
      </c>
      <c r="O8" t="s">
        <v>800</v>
      </c>
    </row>
    <row r="9" spans="1:36" x14ac:dyDescent="0.25">
      <c r="A9" t="s">
        <v>742</v>
      </c>
      <c r="B9" t="s">
        <v>743</v>
      </c>
      <c r="I9" t="s">
        <v>718</v>
      </c>
      <c r="J9" s="80" t="s">
        <v>740</v>
      </c>
      <c r="K9" s="85">
        <v>1</v>
      </c>
      <c r="L9" s="85">
        <v>0</v>
      </c>
      <c r="M9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I20001.0</v>
      </c>
      <c r="N9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O.13.1.0</v>
      </c>
      <c r="O9" t="s">
        <v>801</v>
      </c>
    </row>
    <row r="10" spans="1:36" x14ac:dyDescent="0.25">
      <c r="J10" s="80"/>
      <c r="K10" s="85"/>
      <c r="L10" s="85"/>
      <c r="M10" s="82"/>
      <c r="N10" s="82"/>
    </row>
    <row r="11" spans="1:36" x14ac:dyDescent="0.25">
      <c r="J11" s="80"/>
      <c r="K11" s="85"/>
      <c r="L11" s="85"/>
      <c r="M11" s="82"/>
      <c r="N11" s="82"/>
    </row>
    <row r="12" spans="1:36" x14ac:dyDescent="0.25">
      <c r="J12" s="80"/>
      <c r="K12" s="85"/>
      <c r="L12" s="85"/>
      <c r="M12" s="82"/>
      <c r="N12" s="82"/>
    </row>
    <row r="13" spans="1:36" x14ac:dyDescent="0.25">
      <c r="J13" s="80"/>
      <c r="K13" s="85"/>
      <c r="L13" s="85"/>
      <c r="M13" s="82"/>
      <c r="N13" s="82"/>
    </row>
    <row r="14" spans="1:36" x14ac:dyDescent="0.25">
      <c r="J14" s="80"/>
      <c r="K14" s="85"/>
      <c r="L14" s="85"/>
      <c r="M14" s="82"/>
      <c r="N14" s="82"/>
    </row>
    <row r="15" spans="1:36" x14ac:dyDescent="0.25">
      <c r="J15" s="80"/>
      <c r="K15" s="85"/>
      <c r="L15" s="85"/>
      <c r="M15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/>
      </c>
      <c r="N15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/>
      </c>
    </row>
    <row r="16" spans="1:36" x14ac:dyDescent="0.25">
      <c r="J16" s="80"/>
      <c r="K16" s="85"/>
      <c r="L16" s="85"/>
      <c r="M16" s="82"/>
      <c r="N16" s="82"/>
    </row>
    <row r="17" spans="1:16" x14ac:dyDescent="0.25">
      <c r="J17" s="80"/>
      <c r="K17" s="85"/>
      <c r="L17" s="85"/>
      <c r="M17" s="82"/>
      <c r="N17" s="82"/>
    </row>
    <row r="18" spans="1:16" x14ac:dyDescent="0.25">
      <c r="J18" s="80"/>
      <c r="K18" s="85"/>
      <c r="L18" s="85"/>
      <c r="M18" s="82"/>
      <c r="N18" s="82"/>
    </row>
    <row r="19" spans="1:16" x14ac:dyDescent="0.25">
      <c r="J19" s="80"/>
      <c r="K19" s="85"/>
      <c r="L19" s="85"/>
      <c r="M19" s="82"/>
      <c r="N19" s="82"/>
    </row>
    <row r="20" spans="1:16" x14ac:dyDescent="0.25">
      <c r="J20" s="80"/>
      <c r="K20" s="85"/>
      <c r="L20" s="85"/>
      <c r="M20" s="82"/>
      <c r="N20" s="82"/>
    </row>
    <row r="21" spans="1:16" x14ac:dyDescent="0.25">
      <c r="J21" s="80"/>
      <c r="K21" s="85"/>
      <c r="L21" s="85"/>
      <c r="M21" s="82"/>
      <c r="N21" s="82"/>
    </row>
    <row r="22" spans="1:16" x14ac:dyDescent="0.25">
      <c r="J22" s="80"/>
      <c r="K22" s="85"/>
      <c r="L22" s="85"/>
      <c r="M22" s="82"/>
      <c r="N22" s="82"/>
    </row>
    <row r="23" spans="1:16" x14ac:dyDescent="0.25">
      <c r="J23" s="80"/>
      <c r="K23" s="85"/>
      <c r="L23" s="85"/>
      <c r="M23" s="82"/>
      <c r="N23" s="82"/>
    </row>
    <row r="24" spans="1:16" x14ac:dyDescent="0.25">
      <c r="J24" s="80"/>
      <c r="K24" s="85"/>
      <c r="L24" s="85"/>
      <c r="M24" s="82"/>
      <c r="N24" s="82"/>
    </row>
    <row r="25" spans="1:16" x14ac:dyDescent="0.25">
      <c r="J25" s="80"/>
      <c r="K25" s="85"/>
      <c r="L25" s="85"/>
      <c r="M25" s="82"/>
      <c r="N25" s="82"/>
    </row>
    <row r="26" spans="1:16" x14ac:dyDescent="0.25">
      <c r="J26" s="80"/>
      <c r="K26" s="85"/>
      <c r="L26" s="85"/>
      <c r="M26" s="82"/>
      <c r="N26" s="82"/>
    </row>
    <row r="27" spans="1:16" x14ac:dyDescent="0.25">
      <c r="J27" s="80"/>
      <c r="K27" s="85"/>
      <c r="L27" s="85"/>
      <c r="M27" s="82"/>
      <c r="N27" s="82"/>
    </row>
    <row r="28" spans="1:16" x14ac:dyDescent="0.25">
      <c r="J28" s="80"/>
      <c r="K28" s="85"/>
      <c r="L28" s="85"/>
      <c r="M28" s="82"/>
      <c r="N28" s="82"/>
    </row>
    <row r="29" spans="1:16" x14ac:dyDescent="0.25">
      <c r="J29" s="80"/>
      <c r="K29" s="85"/>
      <c r="L29" s="85"/>
      <c r="M29" s="82"/>
      <c r="N29" s="82"/>
    </row>
    <row r="30" spans="1:16" x14ac:dyDescent="0.25">
      <c r="J30" s="80"/>
      <c r="K30" s="85"/>
      <c r="L30" s="85"/>
      <c r="M30" s="82"/>
      <c r="N30" s="82"/>
    </row>
    <row r="31" spans="1:16" x14ac:dyDescent="0.25">
      <c r="K31" s="82"/>
      <c r="L31" s="82"/>
      <c r="M31" s="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/>
      </c>
      <c r="N31" s="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/>
      </c>
    </row>
    <row r="32" spans="1:16" x14ac:dyDescent="0.25">
      <c r="A32" t="s">
        <v>60</v>
      </c>
      <c r="C32" t="s">
        <v>459</v>
      </c>
      <c r="D32" t="s">
        <v>460</v>
      </c>
      <c r="E32" t="s">
        <v>56</v>
      </c>
      <c r="F32" t="s">
        <v>463</v>
      </c>
      <c r="G32" t="s">
        <v>248</v>
      </c>
      <c r="H32" t="s">
        <v>77</v>
      </c>
      <c r="I32" t="s">
        <v>718</v>
      </c>
      <c r="J32" t="s">
        <v>719</v>
      </c>
      <c r="K32">
        <v>10</v>
      </c>
      <c r="L32">
        <v>0</v>
      </c>
      <c r="M3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Q20010.0</v>
      </c>
      <c r="N3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I.13.10.0</v>
      </c>
      <c r="O32" t="s">
        <v>802</v>
      </c>
      <c r="P32" t="s">
        <v>803</v>
      </c>
    </row>
    <row r="33" spans="1:16" x14ac:dyDescent="0.25">
      <c r="A33" t="s">
        <v>60</v>
      </c>
      <c r="C33" t="s">
        <v>45</v>
      </c>
      <c r="D33" t="s">
        <v>46</v>
      </c>
      <c r="E33" t="s">
        <v>56</v>
      </c>
      <c r="F33" t="s">
        <v>63</v>
      </c>
      <c r="G33" t="s">
        <v>100</v>
      </c>
      <c r="H33" t="s">
        <v>64</v>
      </c>
      <c r="I33" t="s">
        <v>718</v>
      </c>
      <c r="J33" t="s">
        <v>719</v>
      </c>
      <c r="K33">
        <v>10</v>
      </c>
      <c r="L33">
        <v>1</v>
      </c>
      <c r="M3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Q20010.1</v>
      </c>
      <c r="N3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I.13.10.1</v>
      </c>
      <c r="O33" t="s">
        <v>804</v>
      </c>
      <c r="P33" t="s">
        <v>805</v>
      </c>
    </row>
    <row r="34" spans="1:16" x14ac:dyDescent="0.25">
      <c r="A34" t="s">
        <v>60</v>
      </c>
      <c r="I34" t="s">
        <v>718</v>
      </c>
      <c r="J34" t="s">
        <v>719</v>
      </c>
      <c r="K34">
        <v>10</v>
      </c>
      <c r="L34">
        <v>2</v>
      </c>
      <c r="M3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Q20010.2</v>
      </c>
      <c r="N3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I.13.10.2</v>
      </c>
    </row>
    <row r="35" spans="1:16" x14ac:dyDescent="0.25">
      <c r="A35" t="s">
        <v>60</v>
      </c>
      <c r="I35" t="s">
        <v>718</v>
      </c>
      <c r="J35" t="s">
        <v>719</v>
      </c>
      <c r="K35">
        <v>10</v>
      </c>
      <c r="L35">
        <v>3</v>
      </c>
      <c r="M3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Q20010.3</v>
      </c>
      <c r="N3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I.13.10.3</v>
      </c>
    </row>
    <row r="36" spans="1:16" x14ac:dyDescent="0.25">
      <c r="A36" t="s">
        <v>60</v>
      </c>
      <c r="I36" t="s">
        <v>718</v>
      </c>
      <c r="J36" t="s">
        <v>719</v>
      </c>
      <c r="K36">
        <v>10</v>
      </c>
      <c r="L36">
        <v>4</v>
      </c>
      <c r="M3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Q20010.4</v>
      </c>
      <c r="N3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I.13.10.4</v>
      </c>
    </row>
    <row r="37" spans="1:16" x14ac:dyDescent="0.25">
      <c r="A37" t="s">
        <v>60</v>
      </c>
      <c r="I37" t="s">
        <v>718</v>
      </c>
      <c r="J37" t="s">
        <v>719</v>
      </c>
      <c r="K37">
        <v>10</v>
      </c>
      <c r="L37">
        <v>5</v>
      </c>
      <c r="M3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Q20010.5</v>
      </c>
      <c r="N3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I.13.10.5</v>
      </c>
    </row>
    <row r="38" spans="1:16" x14ac:dyDescent="0.25">
      <c r="A38" t="s">
        <v>60</v>
      </c>
      <c r="I38" t="s">
        <v>718</v>
      </c>
      <c r="J38" t="s">
        <v>719</v>
      </c>
      <c r="K38">
        <v>10</v>
      </c>
      <c r="L38">
        <v>6</v>
      </c>
      <c r="M3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Q20010.6</v>
      </c>
      <c r="N3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I.13.10.6</v>
      </c>
    </row>
    <row r="39" spans="1:16" x14ac:dyDescent="0.25">
      <c r="A39" t="s">
        <v>60</v>
      </c>
      <c r="I39" t="s">
        <v>718</v>
      </c>
      <c r="J39" t="s">
        <v>719</v>
      </c>
      <c r="K39">
        <v>10</v>
      </c>
      <c r="L39">
        <v>7</v>
      </c>
      <c r="M3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Q20010.7</v>
      </c>
      <c r="N3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I.13.10.7</v>
      </c>
    </row>
    <row r="40" spans="1:16" x14ac:dyDescent="0.25">
      <c r="A40" t="s">
        <v>60</v>
      </c>
      <c r="I40" t="s">
        <v>718</v>
      </c>
      <c r="J40" t="s">
        <v>719</v>
      </c>
      <c r="K40">
        <v>11</v>
      </c>
      <c r="L40">
        <v>0</v>
      </c>
      <c r="M4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Q20011.0</v>
      </c>
      <c r="N4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I.13.11.0</v>
      </c>
    </row>
    <row r="41" spans="1:16" x14ac:dyDescent="0.25">
      <c r="A41" t="s">
        <v>60</v>
      </c>
      <c r="I41" t="s">
        <v>718</v>
      </c>
      <c r="J41" t="s">
        <v>719</v>
      </c>
      <c r="K41">
        <v>11</v>
      </c>
      <c r="L41">
        <v>1</v>
      </c>
      <c r="M4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Q20011.1</v>
      </c>
      <c r="N4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I.13.11.1</v>
      </c>
    </row>
    <row r="42" spans="1:16" x14ac:dyDescent="0.25">
      <c r="A42" t="s">
        <v>60</v>
      </c>
      <c r="I42" t="s">
        <v>718</v>
      </c>
      <c r="J42" t="s">
        <v>719</v>
      </c>
      <c r="K42">
        <v>11</v>
      </c>
      <c r="L42">
        <v>2</v>
      </c>
      <c r="M4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Q20011.2</v>
      </c>
      <c r="N4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I.13.11.2</v>
      </c>
    </row>
    <row r="43" spans="1:16" x14ac:dyDescent="0.25">
      <c r="A43" t="s">
        <v>60</v>
      </c>
      <c r="I43" t="s">
        <v>718</v>
      </c>
      <c r="J43" t="s">
        <v>719</v>
      </c>
      <c r="K43">
        <v>11</v>
      </c>
      <c r="L43">
        <v>3</v>
      </c>
      <c r="M4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Q20011.3</v>
      </c>
      <c r="N4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I.13.11.3</v>
      </c>
    </row>
    <row r="44" spans="1:16" x14ac:dyDescent="0.25">
      <c r="A44" t="s">
        <v>60</v>
      </c>
      <c r="I44" t="s">
        <v>718</v>
      </c>
      <c r="J44" t="s">
        <v>719</v>
      </c>
      <c r="K44">
        <v>11</v>
      </c>
      <c r="L44">
        <v>4</v>
      </c>
      <c r="M4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Q20011.4</v>
      </c>
      <c r="N4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I.13.11.4</v>
      </c>
    </row>
    <row r="45" spans="1:16" x14ac:dyDescent="0.25">
      <c r="A45" t="s">
        <v>60</v>
      </c>
      <c r="I45" t="s">
        <v>718</v>
      </c>
      <c r="J45" t="s">
        <v>719</v>
      </c>
      <c r="K45">
        <v>11</v>
      </c>
      <c r="L45">
        <v>5</v>
      </c>
      <c r="M4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Q20011.5</v>
      </c>
      <c r="N4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I.13.11.5</v>
      </c>
    </row>
    <row r="46" spans="1:16" x14ac:dyDescent="0.25">
      <c r="A46" t="s">
        <v>60</v>
      </c>
      <c r="I46" t="s">
        <v>718</v>
      </c>
      <c r="J46" t="s">
        <v>719</v>
      </c>
      <c r="K46">
        <v>11</v>
      </c>
      <c r="L46">
        <v>6</v>
      </c>
      <c r="M4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Q20011.6</v>
      </c>
      <c r="N4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I.13.11.6</v>
      </c>
    </row>
    <row r="47" spans="1:16" x14ac:dyDescent="0.25">
      <c r="A47" t="s">
        <v>60</v>
      </c>
      <c r="I47" t="s">
        <v>718</v>
      </c>
      <c r="J47" t="s">
        <v>719</v>
      </c>
      <c r="K47">
        <v>11</v>
      </c>
      <c r="L47">
        <v>7</v>
      </c>
      <c r="M4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Q20011.7</v>
      </c>
      <c r="N4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I.13.11.7</v>
      </c>
    </row>
    <row r="49" spans="1:16" x14ac:dyDescent="0.25">
      <c r="A49" t="s">
        <v>72</v>
      </c>
      <c r="C49" t="s">
        <v>459</v>
      </c>
      <c r="D49" t="s">
        <v>460</v>
      </c>
      <c r="E49" t="s">
        <v>467</v>
      </c>
      <c r="F49" t="s">
        <v>463</v>
      </c>
      <c r="G49" t="s">
        <v>248</v>
      </c>
      <c r="H49" t="s">
        <v>64</v>
      </c>
      <c r="I49" t="s">
        <v>718</v>
      </c>
      <c r="J49" t="s">
        <v>719</v>
      </c>
      <c r="K49">
        <v>12</v>
      </c>
      <c r="L49">
        <v>0</v>
      </c>
      <c r="M4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Q20012.0</v>
      </c>
      <c r="N4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I.13.12.0</v>
      </c>
      <c r="O49" t="s">
        <v>806</v>
      </c>
      <c r="P49" t="s">
        <v>807</v>
      </c>
    </row>
    <row r="50" spans="1:16" x14ac:dyDescent="0.25">
      <c r="A50" t="s">
        <v>72</v>
      </c>
      <c r="C50" t="s">
        <v>459</v>
      </c>
      <c r="D50" t="s">
        <v>476</v>
      </c>
      <c r="E50" t="s">
        <v>68</v>
      </c>
      <c r="F50" t="s">
        <v>477</v>
      </c>
      <c r="G50" t="s">
        <v>83</v>
      </c>
      <c r="H50" t="s">
        <v>77</v>
      </c>
      <c r="I50" t="s">
        <v>718</v>
      </c>
      <c r="J50" t="s">
        <v>719</v>
      </c>
      <c r="K50">
        <v>12</v>
      </c>
      <c r="L50">
        <v>1</v>
      </c>
      <c r="M5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Q20012.1</v>
      </c>
      <c r="N5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I.13.12.1</v>
      </c>
      <c r="O50" t="s">
        <v>808</v>
      </c>
      <c r="P50" t="s">
        <v>809</v>
      </c>
    </row>
    <row r="51" spans="1:16" x14ac:dyDescent="0.25">
      <c r="A51" t="s">
        <v>72</v>
      </c>
      <c r="C51" t="s">
        <v>459</v>
      </c>
      <c r="D51" t="s">
        <v>549</v>
      </c>
      <c r="E51" t="s">
        <v>68</v>
      </c>
      <c r="F51" t="s">
        <v>550</v>
      </c>
      <c r="G51" t="s">
        <v>91</v>
      </c>
      <c r="H51" t="s">
        <v>77</v>
      </c>
      <c r="I51" t="s">
        <v>718</v>
      </c>
      <c r="J51" t="s">
        <v>719</v>
      </c>
      <c r="K51">
        <v>12</v>
      </c>
      <c r="L51">
        <v>2</v>
      </c>
      <c r="M5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Q20012.2</v>
      </c>
      <c r="N5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I.13.12.2</v>
      </c>
      <c r="O51" t="s">
        <v>810</v>
      </c>
      <c r="P51" t="s">
        <v>811</v>
      </c>
    </row>
    <row r="52" spans="1:16" x14ac:dyDescent="0.25">
      <c r="A52" t="s">
        <v>72</v>
      </c>
      <c r="C52" t="s">
        <v>459</v>
      </c>
      <c r="D52" t="s">
        <v>610</v>
      </c>
      <c r="E52" t="s">
        <v>412</v>
      </c>
      <c r="F52" t="s">
        <v>63</v>
      </c>
      <c r="G52" t="s">
        <v>100</v>
      </c>
      <c r="H52" t="s">
        <v>77</v>
      </c>
      <c r="I52" t="s">
        <v>718</v>
      </c>
      <c r="J52" t="s">
        <v>719</v>
      </c>
      <c r="K52">
        <v>12</v>
      </c>
      <c r="L52">
        <v>3</v>
      </c>
      <c r="M5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Q20012.3</v>
      </c>
      <c r="N5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I.13.12.3</v>
      </c>
      <c r="O52" t="s">
        <v>812</v>
      </c>
      <c r="P52" t="s">
        <v>813</v>
      </c>
    </row>
    <row r="53" spans="1:16" x14ac:dyDescent="0.25">
      <c r="A53" t="s">
        <v>72</v>
      </c>
      <c r="C53" t="s">
        <v>45</v>
      </c>
      <c r="D53" t="s">
        <v>71</v>
      </c>
      <c r="E53" t="s">
        <v>68</v>
      </c>
      <c r="F53" t="s">
        <v>76</v>
      </c>
      <c r="G53" t="s">
        <v>69</v>
      </c>
      <c r="H53" t="s">
        <v>77</v>
      </c>
      <c r="I53" t="s">
        <v>718</v>
      </c>
      <c r="J53" t="s">
        <v>719</v>
      </c>
      <c r="K53">
        <v>12</v>
      </c>
      <c r="L53">
        <v>4</v>
      </c>
      <c r="M5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Q20012.4</v>
      </c>
      <c r="N5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I.13.12.4</v>
      </c>
      <c r="O53" t="s">
        <v>814</v>
      </c>
      <c r="P53" t="s">
        <v>815</v>
      </c>
    </row>
    <row r="54" spans="1:16" x14ac:dyDescent="0.25">
      <c r="A54" t="s">
        <v>72</v>
      </c>
      <c r="C54" t="s">
        <v>45</v>
      </c>
      <c r="D54" t="s">
        <v>277</v>
      </c>
      <c r="E54" t="s">
        <v>68</v>
      </c>
      <c r="F54" t="s">
        <v>279</v>
      </c>
      <c r="G54" t="s">
        <v>98</v>
      </c>
      <c r="H54" t="s">
        <v>77</v>
      </c>
      <c r="I54" t="s">
        <v>718</v>
      </c>
      <c r="J54" t="s">
        <v>719</v>
      </c>
      <c r="K54">
        <v>12</v>
      </c>
      <c r="L54">
        <v>5</v>
      </c>
      <c r="M5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Q20012.5</v>
      </c>
      <c r="N5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I.13.12.5</v>
      </c>
      <c r="O54" t="s">
        <v>816</v>
      </c>
      <c r="P54" t="s">
        <v>817</v>
      </c>
    </row>
    <row r="55" spans="1:16" x14ac:dyDescent="0.25">
      <c r="A55" t="s">
        <v>72</v>
      </c>
      <c r="C55" t="s">
        <v>45</v>
      </c>
      <c r="D55" t="s">
        <v>415</v>
      </c>
      <c r="E55" t="s">
        <v>412</v>
      </c>
      <c r="F55" t="s">
        <v>63</v>
      </c>
      <c r="G55" t="s">
        <v>100</v>
      </c>
      <c r="H55" t="s">
        <v>417</v>
      </c>
      <c r="I55" t="s">
        <v>718</v>
      </c>
      <c r="J55" t="s">
        <v>719</v>
      </c>
      <c r="K55">
        <v>12</v>
      </c>
      <c r="L55">
        <v>6</v>
      </c>
      <c r="M5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Q20012.6</v>
      </c>
      <c r="N5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I.13.12.6</v>
      </c>
      <c r="O55" t="s">
        <v>818</v>
      </c>
      <c r="P55" t="s">
        <v>819</v>
      </c>
    </row>
    <row r="56" spans="1:16" x14ac:dyDescent="0.25">
      <c r="A56" t="s">
        <v>72</v>
      </c>
      <c r="I56" t="s">
        <v>718</v>
      </c>
      <c r="J56" t="s">
        <v>719</v>
      </c>
      <c r="K56">
        <v>12</v>
      </c>
      <c r="L56">
        <v>7</v>
      </c>
      <c r="M5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Q20012.7</v>
      </c>
      <c r="N5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I.13.12.7</v>
      </c>
    </row>
    <row r="57" spans="1:16" x14ac:dyDescent="0.25">
      <c r="A57" t="s">
        <v>72</v>
      </c>
      <c r="I57" t="s">
        <v>718</v>
      </c>
      <c r="J57" t="s">
        <v>719</v>
      </c>
      <c r="K57">
        <v>13</v>
      </c>
      <c r="L57">
        <v>0</v>
      </c>
      <c r="M5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Q20013.0</v>
      </c>
      <c r="N5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I.13.13.0</v>
      </c>
    </row>
    <row r="58" spans="1:16" x14ac:dyDescent="0.25">
      <c r="A58" t="s">
        <v>72</v>
      </c>
      <c r="I58" t="s">
        <v>718</v>
      </c>
      <c r="J58" t="s">
        <v>719</v>
      </c>
      <c r="K58">
        <v>13</v>
      </c>
      <c r="L58">
        <v>1</v>
      </c>
      <c r="M5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Q20013.1</v>
      </c>
      <c r="N5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I.13.13.1</v>
      </c>
    </row>
    <row r="59" spans="1:16" x14ac:dyDescent="0.25">
      <c r="A59" t="s">
        <v>72</v>
      </c>
      <c r="I59" t="s">
        <v>718</v>
      </c>
      <c r="J59" t="s">
        <v>719</v>
      </c>
      <c r="K59">
        <v>13</v>
      </c>
      <c r="L59">
        <v>2</v>
      </c>
      <c r="M5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Q20013.2</v>
      </c>
      <c r="N5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I.13.13.2</v>
      </c>
    </row>
    <row r="60" spans="1:16" x14ac:dyDescent="0.25">
      <c r="A60" t="s">
        <v>72</v>
      </c>
      <c r="I60" t="s">
        <v>718</v>
      </c>
      <c r="J60" t="s">
        <v>719</v>
      </c>
      <c r="K60">
        <v>13</v>
      </c>
      <c r="L60">
        <v>3</v>
      </c>
      <c r="M6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Q20013.3</v>
      </c>
      <c r="N6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I.13.13.3</v>
      </c>
    </row>
    <row r="61" spans="1:16" x14ac:dyDescent="0.25">
      <c r="A61" t="s">
        <v>72</v>
      </c>
      <c r="I61" t="s">
        <v>718</v>
      </c>
      <c r="J61" t="s">
        <v>719</v>
      </c>
      <c r="K61">
        <v>13</v>
      </c>
      <c r="L61">
        <v>4</v>
      </c>
      <c r="M6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Q20013.4</v>
      </c>
      <c r="N6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I.13.13.4</v>
      </c>
    </row>
    <row r="62" spans="1:16" x14ac:dyDescent="0.25">
      <c r="A62" t="s">
        <v>72</v>
      </c>
      <c r="I62" t="s">
        <v>718</v>
      </c>
      <c r="J62" t="s">
        <v>719</v>
      </c>
      <c r="K62">
        <v>13</v>
      </c>
      <c r="L62">
        <v>5</v>
      </c>
      <c r="M6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Q20013.5</v>
      </c>
      <c r="N6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I.13.13.5</v>
      </c>
    </row>
    <row r="63" spans="1:16" x14ac:dyDescent="0.25">
      <c r="A63" t="s">
        <v>72</v>
      </c>
      <c r="I63" t="s">
        <v>718</v>
      </c>
      <c r="J63" t="s">
        <v>719</v>
      </c>
      <c r="K63">
        <v>13</v>
      </c>
      <c r="L63">
        <v>6</v>
      </c>
      <c r="M6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Q20013.6</v>
      </c>
      <c r="N6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I.13.13.6</v>
      </c>
    </row>
    <row r="64" spans="1:16" x14ac:dyDescent="0.25">
      <c r="A64" t="s">
        <v>72</v>
      </c>
      <c r="I64" t="s">
        <v>718</v>
      </c>
      <c r="J64" t="s">
        <v>719</v>
      </c>
      <c r="K64">
        <v>13</v>
      </c>
      <c r="L64">
        <v>7</v>
      </c>
      <c r="M6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Q20013.7</v>
      </c>
      <c r="N6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I.13.13.7</v>
      </c>
    </row>
    <row r="66" spans="1:16" x14ac:dyDescent="0.25">
      <c r="A66" t="s">
        <v>104</v>
      </c>
      <c r="B66" t="s">
        <v>820</v>
      </c>
      <c r="C66" t="s">
        <v>459</v>
      </c>
      <c r="D66" t="s">
        <v>476</v>
      </c>
      <c r="E66" t="s">
        <v>103</v>
      </c>
      <c r="F66" t="s">
        <v>477</v>
      </c>
      <c r="G66" t="s">
        <v>83</v>
      </c>
      <c r="H66" t="s">
        <v>108</v>
      </c>
      <c r="I66" t="s">
        <v>718</v>
      </c>
      <c r="J66" t="s">
        <v>719</v>
      </c>
      <c r="K66">
        <v>14</v>
      </c>
      <c r="L66">
        <v>0</v>
      </c>
      <c r="M6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Q20014.0</v>
      </c>
      <c r="N6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I.13.14.0</v>
      </c>
      <c r="O66" t="s">
        <v>821</v>
      </c>
      <c r="P66" t="s">
        <v>822</v>
      </c>
    </row>
    <row r="67" spans="1:16" x14ac:dyDescent="0.25">
      <c r="A67" t="s">
        <v>104</v>
      </c>
      <c r="B67" t="s">
        <v>823</v>
      </c>
      <c r="C67" t="s">
        <v>459</v>
      </c>
      <c r="D67" t="s">
        <v>476</v>
      </c>
      <c r="E67" t="s">
        <v>111</v>
      </c>
      <c r="F67" t="s">
        <v>477</v>
      </c>
      <c r="G67" t="s">
        <v>83</v>
      </c>
      <c r="H67" t="s">
        <v>113</v>
      </c>
      <c r="I67" t="s">
        <v>718</v>
      </c>
      <c r="J67" t="s">
        <v>719</v>
      </c>
      <c r="K67">
        <v>14</v>
      </c>
      <c r="L67">
        <v>1</v>
      </c>
      <c r="M6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Q20014.1</v>
      </c>
      <c r="N6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I.13.14.1</v>
      </c>
      <c r="O67" t="s">
        <v>824</v>
      </c>
      <c r="P67" t="s">
        <v>825</v>
      </c>
    </row>
    <row r="68" spans="1:16" x14ac:dyDescent="0.25">
      <c r="A68" t="s">
        <v>104</v>
      </c>
      <c r="B68" t="s">
        <v>826</v>
      </c>
      <c r="C68" t="s">
        <v>459</v>
      </c>
      <c r="D68" t="s">
        <v>476</v>
      </c>
      <c r="E68" t="s">
        <v>117</v>
      </c>
      <c r="F68" t="s">
        <v>477</v>
      </c>
      <c r="G68" t="s">
        <v>83</v>
      </c>
      <c r="H68" t="s">
        <v>119</v>
      </c>
      <c r="I68" t="s">
        <v>718</v>
      </c>
      <c r="J68" t="s">
        <v>719</v>
      </c>
      <c r="K68">
        <v>14</v>
      </c>
      <c r="L68">
        <v>2</v>
      </c>
      <c r="M6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Q20014.2</v>
      </c>
      <c r="N6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I.13.14.2</v>
      </c>
      <c r="O68" t="s">
        <v>827</v>
      </c>
      <c r="P68" t="s">
        <v>828</v>
      </c>
    </row>
    <row r="69" spans="1:16" x14ac:dyDescent="0.25">
      <c r="A69" t="s">
        <v>104</v>
      </c>
      <c r="B69" t="s">
        <v>829</v>
      </c>
      <c r="C69" t="s">
        <v>459</v>
      </c>
      <c r="D69" t="s">
        <v>476</v>
      </c>
      <c r="E69" t="s">
        <v>123</v>
      </c>
      <c r="F69" t="s">
        <v>477</v>
      </c>
      <c r="G69" t="s">
        <v>83</v>
      </c>
      <c r="H69" t="s">
        <v>125</v>
      </c>
      <c r="I69" t="s">
        <v>718</v>
      </c>
      <c r="J69" t="s">
        <v>719</v>
      </c>
      <c r="K69">
        <v>14</v>
      </c>
      <c r="L69">
        <v>3</v>
      </c>
      <c r="M6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Q20014.3</v>
      </c>
      <c r="N6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I.13.14.3</v>
      </c>
      <c r="O69" t="s">
        <v>830</v>
      </c>
      <c r="P69" t="s">
        <v>831</v>
      </c>
    </row>
    <row r="70" spans="1:16" x14ac:dyDescent="0.25">
      <c r="A70" t="s">
        <v>104</v>
      </c>
      <c r="B70" t="s">
        <v>832</v>
      </c>
      <c r="C70" t="s">
        <v>459</v>
      </c>
      <c r="D70" t="s">
        <v>476</v>
      </c>
      <c r="E70" t="s">
        <v>129</v>
      </c>
      <c r="F70" t="s">
        <v>477</v>
      </c>
      <c r="G70" t="s">
        <v>83</v>
      </c>
      <c r="H70" t="s">
        <v>131</v>
      </c>
      <c r="I70" t="s">
        <v>718</v>
      </c>
      <c r="J70" t="s">
        <v>719</v>
      </c>
      <c r="K70">
        <v>14</v>
      </c>
      <c r="L70">
        <v>4</v>
      </c>
      <c r="M7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Q20014.4</v>
      </c>
      <c r="N7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I.13.14.4</v>
      </c>
      <c r="O70" t="s">
        <v>833</v>
      </c>
      <c r="P70" t="s">
        <v>834</v>
      </c>
    </row>
    <row r="71" spans="1:16" x14ac:dyDescent="0.25">
      <c r="A71" t="s">
        <v>104</v>
      </c>
      <c r="B71" t="s">
        <v>835</v>
      </c>
      <c r="C71" t="s">
        <v>459</v>
      </c>
      <c r="D71" t="s">
        <v>476</v>
      </c>
      <c r="E71" t="s">
        <v>135</v>
      </c>
      <c r="F71" t="s">
        <v>477</v>
      </c>
      <c r="G71" t="s">
        <v>83</v>
      </c>
      <c r="H71" t="s">
        <v>137</v>
      </c>
      <c r="I71" t="s">
        <v>718</v>
      </c>
      <c r="J71" t="s">
        <v>719</v>
      </c>
      <c r="K71">
        <v>14</v>
      </c>
      <c r="L71">
        <v>5</v>
      </c>
      <c r="M7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Q20014.5</v>
      </c>
      <c r="N7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I.13.14.5</v>
      </c>
      <c r="O71" t="s">
        <v>836</v>
      </c>
      <c r="P71" t="s">
        <v>837</v>
      </c>
    </row>
    <row r="72" spans="1:16" x14ac:dyDescent="0.25">
      <c r="A72" t="s">
        <v>104</v>
      </c>
      <c r="B72" t="s">
        <v>838</v>
      </c>
      <c r="C72" t="s">
        <v>459</v>
      </c>
      <c r="D72" t="s">
        <v>476</v>
      </c>
      <c r="E72" t="s">
        <v>140</v>
      </c>
      <c r="F72" t="s">
        <v>477</v>
      </c>
      <c r="G72" t="s">
        <v>83</v>
      </c>
      <c r="H72" t="s">
        <v>142</v>
      </c>
      <c r="I72" t="s">
        <v>718</v>
      </c>
      <c r="J72" t="s">
        <v>719</v>
      </c>
      <c r="K72">
        <v>14</v>
      </c>
      <c r="L72">
        <v>6</v>
      </c>
      <c r="M7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Q20014.6</v>
      </c>
      <c r="N7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I.13.14.6</v>
      </c>
      <c r="O72" t="s">
        <v>839</v>
      </c>
      <c r="P72" t="s">
        <v>840</v>
      </c>
    </row>
    <row r="73" spans="1:16" x14ac:dyDescent="0.25">
      <c r="A73" t="s">
        <v>104</v>
      </c>
      <c r="B73" t="s">
        <v>841</v>
      </c>
      <c r="C73" t="s">
        <v>459</v>
      </c>
      <c r="D73" t="s">
        <v>505</v>
      </c>
      <c r="E73" t="s">
        <v>149</v>
      </c>
      <c r="F73" t="s">
        <v>506</v>
      </c>
      <c r="G73" t="s">
        <v>89</v>
      </c>
      <c r="H73" t="s">
        <v>108</v>
      </c>
      <c r="I73" t="s">
        <v>718</v>
      </c>
      <c r="J73" t="s">
        <v>719</v>
      </c>
      <c r="K73">
        <v>14</v>
      </c>
      <c r="L73">
        <v>7</v>
      </c>
      <c r="M7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Q20014.7</v>
      </c>
      <c r="N7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I.13.14.7</v>
      </c>
      <c r="O73" t="s">
        <v>842</v>
      </c>
      <c r="P73" t="s">
        <v>843</v>
      </c>
    </row>
    <row r="74" spans="1:16" x14ac:dyDescent="0.25">
      <c r="A74" t="s">
        <v>104</v>
      </c>
      <c r="B74" t="s">
        <v>844</v>
      </c>
      <c r="C74" t="s">
        <v>459</v>
      </c>
      <c r="D74" t="s">
        <v>505</v>
      </c>
      <c r="E74" t="s">
        <v>158</v>
      </c>
      <c r="F74" t="s">
        <v>506</v>
      </c>
      <c r="G74" t="s">
        <v>89</v>
      </c>
      <c r="H74" t="s">
        <v>113</v>
      </c>
      <c r="I74" t="s">
        <v>718</v>
      </c>
      <c r="J74" t="s">
        <v>719</v>
      </c>
      <c r="K74">
        <v>15</v>
      </c>
      <c r="L74">
        <v>0</v>
      </c>
      <c r="M7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Q20015.0</v>
      </c>
      <c r="N7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I.13.15.0</v>
      </c>
      <c r="O74" t="s">
        <v>845</v>
      </c>
      <c r="P74" t="s">
        <v>846</v>
      </c>
    </row>
    <row r="75" spans="1:16" x14ac:dyDescent="0.25">
      <c r="A75" t="s">
        <v>104</v>
      </c>
      <c r="B75" t="s">
        <v>847</v>
      </c>
      <c r="C75" t="s">
        <v>459</v>
      </c>
      <c r="D75" t="s">
        <v>505</v>
      </c>
      <c r="E75" t="s">
        <v>163</v>
      </c>
      <c r="F75" t="s">
        <v>506</v>
      </c>
      <c r="G75" t="s">
        <v>89</v>
      </c>
      <c r="H75" t="s">
        <v>119</v>
      </c>
      <c r="I75" t="s">
        <v>718</v>
      </c>
      <c r="J75" t="s">
        <v>719</v>
      </c>
      <c r="K75">
        <v>15</v>
      </c>
      <c r="L75">
        <v>1</v>
      </c>
      <c r="M7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Q20015.1</v>
      </c>
      <c r="N7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I.13.15.1</v>
      </c>
      <c r="O75" t="s">
        <v>848</v>
      </c>
      <c r="P75" t="s">
        <v>849</v>
      </c>
    </row>
    <row r="76" spans="1:16" x14ac:dyDescent="0.25">
      <c r="A76" t="s">
        <v>104</v>
      </c>
      <c r="B76" t="s">
        <v>850</v>
      </c>
      <c r="C76" t="s">
        <v>459</v>
      </c>
      <c r="D76" t="s">
        <v>505</v>
      </c>
      <c r="E76" t="s">
        <v>167</v>
      </c>
      <c r="F76" t="s">
        <v>506</v>
      </c>
      <c r="G76" t="s">
        <v>89</v>
      </c>
      <c r="H76" t="s">
        <v>125</v>
      </c>
      <c r="I76" t="s">
        <v>718</v>
      </c>
      <c r="J76" t="s">
        <v>719</v>
      </c>
      <c r="K76">
        <v>15</v>
      </c>
      <c r="L76">
        <v>2</v>
      </c>
      <c r="M7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Q20015.2</v>
      </c>
      <c r="N7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I.13.15.2</v>
      </c>
      <c r="O76" t="s">
        <v>851</v>
      </c>
      <c r="P76" t="s">
        <v>852</v>
      </c>
    </row>
    <row r="77" spans="1:16" x14ac:dyDescent="0.25">
      <c r="A77" t="s">
        <v>104</v>
      </c>
      <c r="B77" t="s">
        <v>853</v>
      </c>
      <c r="C77" t="s">
        <v>459</v>
      </c>
      <c r="D77" t="s">
        <v>505</v>
      </c>
      <c r="E77" t="s">
        <v>171</v>
      </c>
      <c r="F77" t="s">
        <v>506</v>
      </c>
      <c r="G77" t="s">
        <v>89</v>
      </c>
      <c r="H77" t="s">
        <v>131</v>
      </c>
      <c r="I77" t="s">
        <v>718</v>
      </c>
      <c r="J77" t="s">
        <v>719</v>
      </c>
      <c r="K77">
        <v>15</v>
      </c>
      <c r="L77">
        <v>3</v>
      </c>
      <c r="M7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Q20015.3</v>
      </c>
      <c r="N7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I.13.15.3</v>
      </c>
      <c r="O77" t="s">
        <v>854</v>
      </c>
      <c r="P77" t="s">
        <v>855</v>
      </c>
    </row>
    <row r="78" spans="1:16" x14ac:dyDescent="0.25">
      <c r="A78" t="s">
        <v>104</v>
      </c>
      <c r="B78" t="s">
        <v>856</v>
      </c>
      <c r="C78" t="s">
        <v>45</v>
      </c>
      <c r="D78" t="s">
        <v>71</v>
      </c>
      <c r="E78" t="s">
        <v>103</v>
      </c>
      <c r="F78" t="s">
        <v>76</v>
      </c>
      <c r="G78" t="s">
        <v>69</v>
      </c>
      <c r="H78" t="s">
        <v>108</v>
      </c>
      <c r="I78" t="s">
        <v>718</v>
      </c>
      <c r="J78" t="s">
        <v>719</v>
      </c>
      <c r="K78">
        <v>15</v>
      </c>
      <c r="L78">
        <v>4</v>
      </c>
      <c r="M7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Q20015.4</v>
      </c>
      <c r="N7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I.13.15.4</v>
      </c>
      <c r="O78" t="s">
        <v>857</v>
      </c>
      <c r="P78" t="s">
        <v>858</v>
      </c>
    </row>
    <row r="79" spans="1:16" x14ac:dyDescent="0.25">
      <c r="A79" t="s">
        <v>104</v>
      </c>
      <c r="B79" t="s">
        <v>859</v>
      </c>
      <c r="C79" t="s">
        <v>45</v>
      </c>
      <c r="D79" t="s">
        <v>71</v>
      </c>
      <c r="E79" t="s">
        <v>111</v>
      </c>
      <c r="F79" t="s">
        <v>76</v>
      </c>
      <c r="G79" t="s">
        <v>69</v>
      </c>
      <c r="H79" t="s">
        <v>113</v>
      </c>
      <c r="I79" t="s">
        <v>718</v>
      </c>
      <c r="J79" t="s">
        <v>719</v>
      </c>
      <c r="K79">
        <v>15</v>
      </c>
      <c r="L79">
        <v>5</v>
      </c>
      <c r="M7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Q20015.5</v>
      </c>
      <c r="N7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I.13.15.5</v>
      </c>
      <c r="O79" t="s">
        <v>860</v>
      </c>
      <c r="P79" t="s">
        <v>861</v>
      </c>
    </row>
    <row r="80" spans="1:16" x14ac:dyDescent="0.25">
      <c r="A80" t="s">
        <v>104</v>
      </c>
      <c r="B80" t="s">
        <v>862</v>
      </c>
      <c r="C80" t="s">
        <v>45</v>
      </c>
      <c r="D80" t="s">
        <v>71</v>
      </c>
      <c r="E80" t="s">
        <v>117</v>
      </c>
      <c r="F80" t="s">
        <v>76</v>
      </c>
      <c r="G80" t="s">
        <v>69</v>
      </c>
      <c r="H80" t="s">
        <v>119</v>
      </c>
      <c r="I80" t="s">
        <v>718</v>
      </c>
      <c r="J80" t="s">
        <v>719</v>
      </c>
      <c r="K80">
        <v>15</v>
      </c>
      <c r="L80">
        <v>6</v>
      </c>
      <c r="M8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Q20015.6</v>
      </c>
      <c r="N8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I.13.15.6</v>
      </c>
      <c r="O80" t="s">
        <v>863</v>
      </c>
      <c r="P80" t="s">
        <v>864</v>
      </c>
    </row>
    <row r="81" spans="1:16" x14ac:dyDescent="0.25">
      <c r="A81" t="s">
        <v>104</v>
      </c>
      <c r="B81" t="s">
        <v>865</v>
      </c>
      <c r="C81" t="s">
        <v>45</v>
      </c>
      <c r="D81" t="s">
        <v>71</v>
      </c>
      <c r="E81" t="s">
        <v>123</v>
      </c>
      <c r="F81" t="s">
        <v>76</v>
      </c>
      <c r="G81" t="s">
        <v>69</v>
      </c>
      <c r="H81" t="s">
        <v>125</v>
      </c>
      <c r="I81" t="s">
        <v>718</v>
      </c>
      <c r="J81" t="s">
        <v>719</v>
      </c>
      <c r="K81">
        <v>15</v>
      </c>
      <c r="L81">
        <v>7</v>
      </c>
      <c r="M8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Q20015.7</v>
      </c>
      <c r="N8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I.13.15.7</v>
      </c>
      <c r="O81" t="s">
        <v>866</v>
      </c>
      <c r="P81" t="s">
        <v>867</v>
      </c>
    </row>
    <row r="82" spans="1:16" x14ac:dyDescent="0.25">
      <c r="A82" t="s">
        <v>104</v>
      </c>
      <c r="B82" t="s">
        <v>868</v>
      </c>
      <c r="C82" t="s">
        <v>45</v>
      </c>
      <c r="D82" t="s">
        <v>71</v>
      </c>
      <c r="E82" t="s">
        <v>129</v>
      </c>
      <c r="F82" t="s">
        <v>76</v>
      </c>
      <c r="G82" t="s">
        <v>69</v>
      </c>
      <c r="H82" t="s">
        <v>131</v>
      </c>
      <c r="I82" t="s">
        <v>718</v>
      </c>
      <c r="J82" t="s">
        <v>719</v>
      </c>
      <c r="K82">
        <v>16</v>
      </c>
      <c r="L82">
        <v>0</v>
      </c>
      <c r="M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Q20016.0</v>
      </c>
      <c r="N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I.13.16.0</v>
      </c>
      <c r="O82" t="s">
        <v>869</v>
      </c>
      <c r="P82" t="s">
        <v>870</v>
      </c>
    </row>
    <row r="83" spans="1:16" x14ac:dyDescent="0.25">
      <c r="A83" t="s">
        <v>104</v>
      </c>
      <c r="B83" t="s">
        <v>871</v>
      </c>
      <c r="C83" t="s">
        <v>45</v>
      </c>
      <c r="D83" t="s">
        <v>71</v>
      </c>
      <c r="E83" t="s">
        <v>135</v>
      </c>
      <c r="F83" t="s">
        <v>76</v>
      </c>
      <c r="G83" t="s">
        <v>69</v>
      </c>
      <c r="H83" t="s">
        <v>137</v>
      </c>
      <c r="I83" t="s">
        <v>718</v>
      </c>
      <c r="J83" t="s">
        <v>719</v>
      </c>
      <c r="K83">
        <v>16</v>
      </c>
      <c r="L83">
        <v>1</v>
      </c>
      <c r="M8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Q20016.1</v>
      </c>
      <c r="N8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I.13.16.1</v>
      </c>
      <c r="O83" t="s">
        <v>872</v>
      </c>
      <c r="P83" t="s">
        <v>873</v>
      </c>
    </row>
    <row r="84" spans="1:16" x14ac:dyDescent="0.25">
      <c r="A84" t="s">
        <v>104</v>
      </c>
      <c r="B84" t="s">
        <v>874</v>
      </c>
      <c r="C84" t="s">
        <v>45</v>
      </c>
      <c r="D84" t="s">
        <v>71</v>
      </c>
      <c r="E84" t="s">
        <v>140</v>
      </c>
      <c r="F84" t="s">
        <v>76</v>
      </c>
      <c r="G84" t="s">
        <v>69</v>
      </c>
      <c r="H84" t="s">
        <v>142</v>
      </c>
      <c r="I84" t="s">
        <v>718</v>
      </c>
      <c r="J84" t="s">
        <v>719</v>
      </c>
      <c r="K84">
        <v>16</v>
      </c>
      <c r="L84">
        <v>2</v>
      </c>
      <c r="M8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Q20016.2</v>
      </c>
      <c r="N8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I.13.16.2</v>
      </c>
      <c r="O84" t="s">
        <v>875</v>
      </c>
      <c r="P84" t="s">
        <v>876</v>
      </c>
    </row>
    <row r="85" spans="1:16" x14ac:dyDescent="0.25">
      <c r="A85" t="s">
        <v>104</v>
      </c>
      <c r="B85" t="s">
        <v>877</v>
      </c>
      <c r="C85" t="s">
        <v>45</v>
      </c>
      <c r="D85" t="s">
        <v>180</v>
      </c>
      <c r="E85" t="s">
        <v>149</v>
      </c>
      <c r="F85" t="s">
        <v>182</v>
      </c>
      <c r="G85" t="s">
        <v>96</v>
      </c>
      <c r="H85" t="s">
        <v>108</v>
      </c>
      <c r="I85" t="s">
        <v>718</v>
      </c>
      <c r="J85" t="s">
        <v>719</v>
      </c>
      <c r="K85">
        <v>16</v>
      </c>
      <c r="L85">
        <v>3</v>
      </c>
      <c r="M8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Q20016.3</v>
      </c>
      <c r="N8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I.13.16.3</v>
      </c>
      <c r="O85" t="s">
        <v>878</v>
      </c>
      <c r="P85" t="s">
        <v>879</v>
      </c>
    </row>
    <row r="86" spans="1:16" x14ac:dyDescent="0.25">
      <c r="A86" t="s">
        <v>104</v>
      </c>
      <c r="B86" t="s">
        <v>880</v>
      </c>
      <c r="C86" t="s">
        <v>45</v>
      </c>
      <c r="D86" t="s">
        <v>180</v>
      </c>
      <c r="E86" t="s">
        <v>158</v>
      </c>
      <c r="F86" t="s">
        <v>182</v>
      </c>
      <c r="G86" t="s">
        <v>96</v>
      </c>
      <c r="H86" t="s">
        <v>113</v>
      </c>
      <c r="I86" t="s">
        <v>718</v>
      </c>
      <c r="J86" t="s">
        <v>719</v>
      </c>
      <c r="K86">
        <v>16</v>
      </c>
      <c r="L86">
        <v>4</v>
      </c>
      <c r="M8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Q20016.4</v>
      </c>
      <c r="N8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I.13.16.4</v>
      </c>
      <c r="O86" t="s">
        <v>881</v>
      </c>
      <c r="P86" t="s">
        <v>882</v>
      </c>
    </row>
    <row r="87" spans="1:16" x14ac:dyDescent="0.25">
      <c r="A87" t="s">
        <v>104</v>
      </c>
      <c r="B87" t="s">
        <v>883</v>
      </c>
      <c r="C87" t="s">
        <v>45</v>
      </c>
      <c r="D87" t="s">
        <v>180</v>
      </c>
      <c r="E87" t="s">
        <v>163</v>
      </c>
      <c r="F87" t="s">
        <v>182</v>
      </c>
      <c r="G87" t="s">
        <v>96</v>
      </c>
      <c r="H87" t="s">
        <v>119</v>
      </c>
      <c r="I87" t="s">
        <v>718</v>
      </c>
      <c r="J87" t="s">
        <v>719</v>
      </c>
      <c r="K87">
        <v>16</v>
      </c>
      <c r="L87">
        <v>5</v>
      </c>
      <c r="M8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Q20016.5</v>
      </c>
      <c r="N8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I.13.16.5</v>
      </c>
      <c r="O87" t="s">
        <v>884</v>
      </c>
      <c r="P87" t="s">
        <v>885</v>
      </c>
    </row>
    <row r="88" spans="1:16" x14ac:dyDescent="0.25">
      <c r="A88" t="s">
        <v>104</v>
      </c>
      <c r="B88" t="s">
        <v>886</v>
      </c>
      <c r="C88" t="s">
        <v>45</v>
      </c>
      <c r="D88" t="s">
        <v>180</v>
      </c>
      <c r="E88" t="s">
        <v>167</v>
      </c>
      <c r="F88" t="s">
        <v>182</v>
      </c>
      <c r="G88" t="s">
        <v>96</v>
      </c>
      <c r="H88" t="s">
        <v>125</v>
      </c>
      <c r="I88" t="s">
        <v>718</v>
      </c>
      <c r="J88" t="s">
        <v>719</v>
      </c>
      <c r="K88">
        <v>16</v>
      </c>
      <c r="L88">
        <v>6</v>
      </c>
      <c r="M8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Q20016.6</v>
      </c>
      <c r="N8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I.13.16.6</v>
      </c>
      <c r="O88" t="s">
        <v>887</v>
      </c>
      <c r="P88" t="s">
        <v>888</v>
      </c>
    </row>
    <row r="89" spans="1:16" x14ac:dyDescent="0.25">
      <c r="A89" t="s">
        <v>104</v>
      </c>
      <c r="B89" t="s">
        <v>889</v>
      </c>
      <c r="C89" t="s">
        <v>45</v>
      </c>
      <c r="D89" t="s">
        <v>180</v>
      </c>
      <c r="E89" t="s">
        <v>171</v>
      </c>
      <c r="F89" t="s">
        <v>182</v>
      </c>
      <c r="G89" t="s">
        <v>96</v>
      </c>
      <c r="H89" t="s">
        <v>131</v>
      </c>
      <c r="I89" t="s">
        <v>718</v>
      </c>
      <c r="J89" t="s">
        <v>719</v>
      </c>
      <c r="K89">
        <v>16</v>
      </c>
      <c r="L89">
        <v>7</v>
      </c>
      <c r="M8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Q20016.7</v>
      </c>
      <c r="N8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I.13.16.7</v>
      </c>
      <c r="O89" t="s">
        <v>890</v>
      </c>
      <c r="P89" t="s">
        <v>891</v>
      </c>
    </row>
    <row r="90" spans="1:16" x14ac:dyDescent="0.25">
      <c r="A90" t="s">
        <v>104</v>
      </c>
      <c r="I90" t="s">
        <v>718</v>
      </c>
      <c r="J90" t="s">
        <v>719</v>
      </c>
      <c r="K90">
        <v>17</v>
      </c>
      <c r="L90">
        <v>0</v>
      </c>
      <c r="M9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Q20017.0</v>
      </c>
      <c r="N9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I.13.17.0</v>
      </c>
    </row>
    <row r="91" spans="1:16" x14ac:dyDescent="0.25">
      <c r="A91" t="s">
        <v>104</v>
      </c>
      <c r="I91" t="s">
        <v>718</v>
      </c>
      <c r="J91" t="s">
        <v>719</v>
      </c>
      <c r="K91">
        <v>17</v>
      </c>
      <c r="L91">
        <v>1</v>
      </c>
      <c r="M9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Q20017.1</v>
      </c>
      <c r="N9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I.13.17.1</v>
      </c>
    </row>
    <row r="92" spans="1:16" x14ac:dyDescent="0.25">
      <c r="A92" t="s">
        <v>104</v>
      </c>
      <c r="I92" t="s">
        <v>718</v>
      </c>
      <c r="J92" t="s">
        <v>719</v>
      </c>
      <c r="K92">
        <v>17</v>
      </c>
      <c r="L92">
        <v>2</v>
      </c>
      <c r="M9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Q20017.2</v>
      </c>
      <c r="N9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I.13.17.2</v>
      </c>
    </row>
    <row r="93" spans="1:16" x14ac:dyDescent="0.25">
      <c r="A93" t="s">
        <v>104</v>
      </c>
      <c r="I93" t="s">
        <v>718</v>
      </c>
      <c r="J93" t="s">
        <v>719</v>
      </c>
      <c r="K93">
        <v>17</v>
      </c>
      <c r="L93">
        <v>3</v>
      </c>
      <c r="M9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Q20017.3</v>
      </c>
      <c r="N9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I.13.17.3</v>
      </c>
    </row>
    <row r="94" spans="1:16" x14ac:dyDescent="0.25">
      <c r="A94" t="s">
        <v>104</v>
      </c>
      <c r="I94" t="s">
        <v>718</v>
      </c>
      <c r="J94" t="s">
        <v>719</v>
      </c>
      <c r="K94">
        <v>17</v>
      </c>
      <c r="L94">
        <v>4</v>
      </c>
      <c r="M9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Q20017.4</v>
      </c>
      <c r="N9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I.13.17.4</v>
      </c>
    </row>
    <row r="95" spans="1:16" x14ac:dyDescent="0.25">
      <c r="A95" t="s">
        <v>104</v>
      </c>
      <c r="I95" t="s">
        <v>718</v>
      </c>
      <c r="J95" t="s">
        <v>719</v>
      </c>
      <c r="K95">
        <v>17</v>
      </c>
      <c r="L95">
        <v>5</v>
      </c>
      <c r="M9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Q20017.5</v>
      </c>
      <c r="N9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I.13.17.5</v>
      </c>
    </row>
    <row r="96" spans="1:16" x14ac:dyDescent="0.25">
      <c r="A96" t="s">
        <v>104</v>
      </c>
      <c r="I96" t="s">
        <v>718</v>
      </c>
      <c r="J96" t="s">
        <v>719</v>
      </c>
      <c r="K96">
        <v>17</v>
      </c>
      <c r="L96">
        <v>6</v>
      </c>
      <c r="M9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Q20017.6</v>
      </c>
      <c r="N9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I.13.17.6</v>
      </c>
    </row>
    <row r="97" spans="1:16" x14ac:dyDescent="0.25">
      <c r="A97" t="s">
        <v>104</v>
      </c>
      <c r="I97" t="s">
        <v>718</v>
      </c>
      <c r="J97" t="s">
        <v>719</v>
      </c>
      <c r="K97">
        <v>17</v>
      </c>
      <c r="L97">
        <v>7</v>
      </c>
      <c r="M9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Q20017.7</v>
      </c>
      <c r="N9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I.13.17.7</v>
      </c>
    </row>
    <row r="99" spans="1:16" x14ac:dyDescent="0.25">
      <c r="A99" t="s">
        <v>150</v>
      </c>
      <c r="B99" t="s">
        <v>892</v>
      </c>
      <c r="C99" t="s">
        <v>459</v>
      </c>
      <c r="D99" t="s">
        <v>495</v>
      </c>
      <c r="E99" t="s">
        <v>149</v>
      </c>
      <c r="F99" t="s">
        <v>496</v>
      </c>
      <c r="G99" t="s">
        <v>87</v>
      </c>
      <c r="H99" t="s">
        <v>108</v>
      </c>
      <c r="I99" t="s">
        <v>718</v>
      </c>
      <c r="J99" t="s">
        <v>719</v>
      </c>
      <c r="K99">
        <v>18</v>
      </c>
      <c r="L99">
        <v>0</v>
      </c>
      <c r="M9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Q20018.0</v>
      </c>
      <c r="N9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I.13.18.0</v>
      </c>
      <c r="O99" t="s">
        <v>893</v>
      </c>
      <c r="P99" t="s">
        <v>894</v>
      </c>
    </row>
    <row r="100" spans="1:16" x14ac:dyDescent="0.25">
      <c r="A100" t="s">
        <v>150</v>
      </c>
      <c r="B100" t="s">
        <v>895</v>
      </c>
      <c r="C100" t="s">
        <v>459</v>
      </c>
      <c r="D100" t="s">
        <v>495</v>
      </c>
      <c r="E100" t="s">
        <v>158</v>
      </c>
      <c r="F100" t="s">
        <v>496</v>
      </c>
      <c r="G100" t="s">
        <v>87</v>
      </c>
      <c r="H100" t="s">
        <v>113</v>
      </c>
      <c r="I100" t="s">
        <v>718</v>
      </c>
      <c r="J100" t="s">
        <v>719</v>
      </c>
      <c r="K100">
        <v>18</v>
      </c>
      <c r="L100">
        <v>1</v>
      </c>
      <c r="M10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Q20018.1</v>
      </c>
      <c r="N10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I.13.18.1</v>
      </c>
      <c r="O100" t="s">
        <v>896</v>
      </c>
      <c r="P100" t="s">
        <v>897</v>
      </c>
    </row>
    <row r="101" spans="1:16" x14ac:dyDescent="0.25">
      <c r="A101" t="s">
        <v>150</v>
      </c>
      <c r="B101" t="s">
        <v>898</v>
      </c>
      <c r="C101" t="s">
        <v>459</v>
      </c>
      <c r="D101" t="s">
        <v>495</v>
      </c>
      <c r="E101" t="s">
        <v>163</v>
      </c>
      <c r="F101" t="s">
        <v>496</v>
      </c>
      <c r="G101" t="s">
        <v>87</v>
      </c>
      <c r="H101" t="s">
        <v>119</v>
      </c>
      <c r="I101" t="s">
        <v>718</v>
      </c>
      <c r="J101" t="s">
        <v>719</v>
      </c>
      <c r="K101">
        <v>18</v>
      </c>
      <c r="L101">
        <v>2</v>
      </c>
      <c r="M10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Q20018.2</v>
      </c>
      <c r="N10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I.13.18.2</v>
      </c>
      <c r="O101" t="s">
        <v>899</v>
      </c>
      <c r="P101" t="s">
        <v>900</v>
      </c>
    </row>
    <row r="102" spans="1:16" x14ac:dyDescent="0.25">
      <c r="A102" t="s">
        <v>150</v>
      </c>
      <c r="B102" t="s">
        <v>901</v>
      </c>
      <c r="C102" t="s">
        <v>459</v>
      </c>
      <c r="D102" t="s">
        <v>495</v>
      </c>
      <c r="E102" t="s">
        <v>167</v>
      </c>
      <c r="F102" t="s">
        <v>496</v>
      </c>
      <c r="G102" t="s">
        <v>87</v>
      </c>
      <c r="H102" t="s">
        <v>125</v>
      </c>
      <c r="I102" t="s">
        <v>718</v>
      </c>
      <c r="J102" t="s">
        <v>719</v>
      </c>
      <c r="K102">
        <v>18</v>
      </c>
      <c r="L102">
        <v>3</v>
      </c>
      <c r="M10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Q20018.3</v>
      </c>
      <c r="N10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I.13.18.3</v>
      </c>
      <c r="O102" t="s">
        <v>902</v>
      </c>
      <c r="P102" t="s">
        <v>903</v>
      </c>
    </row>
    <row r="103" spans="1:16" x14ac:dyDescent="0.25">
      <c r="A103" t="s">
        <v>150</v>
      </c>
      <c r="B103" t="s">
        <v>904</v>
      </c>
      <c r="C103" t="s">
        <v>459</v>
      </c>
      <c r="D103" t="s">
        <v>495</v>
      </c>
      <c r="E103" t="s">
        <v>171</v>
      </c>
      <c r="F103" t="s">
        <v>496</v>
      </c>
      <c r="G103" t="s">
        <v>87</v>
      </c>
      <c r="H103" t="s">
        <v>131</v>
      </c>
      <c r="I103" t="s">
        <v>718</v>
      </c>
      <c r="J103" t="s">
        <v>719</v>
      </c>
      <c r="K103">
        <v>18</v>
      </c>
      <c r="L103">
        <v>4</v>
      </c>
      <c r="M10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Q20018.4</v>
      </c>
      <c r="N10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I.13.18.4</v>
      </c>
      <c r="O103" t="s">
        <v>905</v>
      </c>
      <c r="P103" t="s">
        <v>906</v>
      </c>
    </row>
    <row r="104" spans="1:16" x14ac:dyDescent="0.25">
      <c r="A104" t="s">
        <v>150</v>
      </c>
      <c r="B104" t="s">
        <v>907</v>
      </c>
      <c r="C104" t="s">
        <v>45</v>
      </c>
      <c r="D104" t="s">
        <v>148</v>
      </c>
      <c r="E104" t="s">
        <v>149</v>
      </c>
      <c r="F104" t="s">
        <v>154</v>
      </c>
      <c r="G104" t="s">
        <v>94</v>
      </c>
      <c r="H104" t="s">
        <v>108</v>
      </c>
      <c r="I104" t="s">
        <v>718</v>
      </c>
      <c r="J104" t="s">
        <v>719</v>
      </c>
      <c r="K104">
        <v>18</v>
      </c>
      <c r="L104">
        <v>5</v>
      </c>
      <c r="M10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Q20018.5</v>
      </c>
      <c r="N10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I.13.18.5</v>
      </c>
      <c r="O104" t="s">
        <v>908</v>
      </c>
      <c r="P104" t="s">
        <v>909</v>
      </c>
    </row>
    <row r="105" spans="1:16" x14ac:dyDescent="0.25">
      <c r="A105" t="s">
        <v>150</v>
      </c>
      <c r="B105" t="s">
        <v>910</v>
      </c>
      <c r="C105" t="s">
        <v>45</v>
      </c>
      <c r="D105" t="s">
        <v>148</v>
      </c>
      <c r="E105" t="s">
        <v>158</v>
      </c>
      <c r="F105" t="s">
        <v>154</v>
      </c>
      <c r="G105" t="s">
        <v>94</v>
      </c>
      <c r="H105" t="s">
        <v>113</v>
      </c>
      <c r="I105" t="s">
        <v>718</v>
      </c>
      <c r="J105" t="s">
        <v>719</v>
      </c>
      <c r="K105">
        <v>18</v>
      </c>
      <c r="L105">
        <v>6</v>
      </c>
      <c r="M10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Q20018.6</v>
      </c>
      <c r="N10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I.13.18.6</v>
      </c>
      <c r="O105" t="s">
        <v>911</v>
      </c>
      <c r="P105" t="s">
        <v>912</v>
      </c>
    </row>
    <row r="106" spans="1:16" x14ac:dyDescent="0.25">
      <c r="A106" t="s">
        <v>150</v>
      </c>
      <c r="B106" t="s">
        <v>913</v>
      </c>
      <c r="C106" t="s">
        <v>45</v>
      </c>
      <c r="D106" t="s">
        <v>148</v>
      </c>
      <c r="E106" t="s">
        <v>163</v>
      </c>
      <c r="F106" t="s">
        <v>154</v>
      </c>
      <c r="G106" t="s">
        <v>94</v>
      </c>
      <c r="H106" t="s">
        <v>119</v>
      </c>
      <c r="I106" t="s">
        <v>718</v>
      </c>
      <c r="J106" t="s">
        <v>719</v>
      </c>
      <c r="K106">
        <v>18</v>
      </c>
      <c r="L106">
        <v>7</v>
      </c>
      <c r="M10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Q20018.7</v>
      </c>
      <c r="N10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I.13.18.7</v>
      </c>
      <c r="O106" t="s">
        <v>914</v>
      </c>
      <c r="P106" t="s">
        <v>915</v>
      </c>
    </row>
    <row r="107" spans="1:16" x14ac:dyDescent="0.25">
      <c r="A107" t="s">
        <v>150</v>
      </c>
      <c r="B107" t="s">
        <v>916</v>
      </c>
      <c r="C107" t="s">
        <v>45</v>
      </c>
      <c r="D107" t="s">
        <v>148</v>
      </c>
      <c r="E107" t="s">
        <v>167</v>
      </c>
      <c r="F107" t="s">
        <v>154</v>
      </c>
      <c r="G107" t="s">
        <v>94</v>
      </c>
      <c r="H107" t="s">
        <v>125</v>
      </c>
      <c r="I107" t="s">
        <v>718</v>
      </c>
      <c r="J107" t="s">
        <v>719</v>
      </c>
      <c r="K107">
        <v>19</v>
      </c>
      <c r="L107">
        <v>0</v>
      </c>
      <c r="M10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Q20019.0</v>
      </c>
      <c r="N10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I.13.19.0</v>
      </c>
      <c r="O107" t="s">
        <v>917</v>
      </c>
      <c r="P107" t="s">
        <v>918</v>
      </c>
    </row>
    <row r="108" spans="1:16" x14ac:dyDescent="0.25">
      <c r="A108" t="s">
        <v>150</v>
      </c>
      <c r="B108" t="s">
        <v>919</v>
      </c>
      <c r="C108" t="s">
        <v>45</v>
      </c>
      <c r="D108" t="s">
        <v>148</v>
      </c>
      <c r="E108" t="s">
        <v>171</v>
      </c>
      <c r="F108" t="s">
        <v>154</v>
      </c>
      <c r="G108" t="s">
        <v>94</v>
      </c>
      <c r="H108" t="s">
        <v>131</v>
      </c>
      <c r="I108" t="s">
        <v>718</v>
      </c>
      <c r="J108" t="s">
        <v>719</v>
      </c>
      <c r="K108">
        <v>19</v>
      </c>
      <c r="L108">
        <v>1</v>
      </c>
      <c r="M10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Q20019.1</v>
      </c>
      <c r="N10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I.13.19.1</v>
      </c>
      <c r="O108" t="s">
        <v>920</v>
      </c>
      <c r="P108" t="s">
        <v>921</v>
      </c>
    </row>
    <row r="109" spans="1:16" x14ac:dyDescent="0.25">
      <c r="A109" t="s">
        <v>150</v>
      </c>
      <c r="I109" t="s">
        <v>718</v>
      </c>
      <c r="J109" t="s">
        <v>719</v>
      </c>
      <c r="K109">
        <v>19</v>
      </c>
      <c r="L109">
        <v>2</v>
      </c>
      <c r="M10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Q20019.2</v>
      </c>
      <c r="N10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I.13.19.2</v>
      </c>
    </row>
    <row r="110" spans="1:16" x14ac:dyDescent="0.25">
      <c r="A110" t="s">
        <v>150</v>
      </c>
      <c r="I110" t="s">
        <v>718</v>
      </c>
      <c r="J110" t="s">
        <v>719</v>
      </c>
      <c r="K110">
        <v>19</v>
      </c>
      <c r="L110">
        <v>3</v>
      </c>
      <c r="M11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Q20019.3</v>
      </c>
      <c r="N11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I.13.19.3</v>
      </c>
    </row>
    <row r="111" spans="1:16" x14ac:dyDescent="0.25">
      <c r="A111" t="s">
        <v>150</v>
      </c>
      <c r="I111" t="s">
        <v>718</v>
      </c>
      <c r="J111" t="s">
        <v>719</v>
      </c>
      <c r="K111">
        <v>19</v>
      </c>
      <c r="L111">
        <v>4</v>
      </c>
      <c r="M11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Q20019.4</v>
      </c>
      <c r="N11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I.13.19.4</v>
      </c>
    </row>
    <row r="112" spans="1:16" x14ac:dyDescent="0.25">
      <c r="A112" t="s">
        <v>150</v>
      </c>
      <c r="I112" t="s">
        <v>718</v>
      </c>
      <c r="J112" t="s">
        <v>719</v>
      </c>
      <c r="K112">
        <v>19</v>
      </c>
      <c r="L112">
        <v>5</v>
      </c>
      <c r="M11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Q20019.5</v>
      </c>
      <c r="N11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I.13.19.5</v>
      </c>
    </row>
    <row r="113" spans="1:16" x14ac:dyDescent="0.25">
      <c r="A113" t="s">
        <v>150</v>
      </c>
      <c r="I113" t="s">
        <v>718</v>
      </c>
      <c r="J113" t="s">
        <v>719</v>
      </c>
      <c r="K113">
        <v>19</v>
      </c>
      <c r="L113">
        <v>6</v>
      </c>
      <c r="M11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Q20019.6</v>
      </c>
      <c r="N11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I.13.19.6</v>
      </c>
    </row>
    <row r="114" spans="1:16" x14ac:dyDescent="0.25">
      <c r="A114" t="s">
        <v>150</v>
      </c>
      <c r="I114" t="s">
        <v>718</v>
      </c>
      <c r="J114" t="s">
        <v>719</v>
      </c>
      <c r="K114">
        <v>19</v>
      </c>
      <c r="L114">
        <v>7</v>
      </c>
      <c r="M11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Q20019.7</v>
      </c>
      <c r="N11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I.13.19.7</v>
      </c>
    </row>
    <row r="116" spans="1:16" x14ac:dyDescent="0.25">
      <c r="A116" t="s">
        <v>518</v>
      </c>
      <c r="B116" t="s">
        <v>745</v>
      </c>
      <c r="C116" t="s">
        <v>459</v>
      </c>
      <c r="D116" t="s">
        <v>476</v>
      </c>
      <c r="E116" t="s">
        <v>204</v>
      </c>
      <c r="F116" t="s">
        <v>208</v>
      </c>
      <c r="G116" t="s">
        <v>139</v>
      </c>
      <c r="H116" t="s">
        <v>113</v>
      </c>
      <c r="I116" t="s">
        <v>718</v>
      </c>
      <c r="J116" t="s">
        <v>719</v>
      </c>
      <c r="K116">
        <v>20</v>
      </c>
      <c r="L116">
        <v>0</v>
      </c>
      <c r="M11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Q20020.0</v>
      </c>
      <c r="N11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I.13.20.0</v>
      </c>
      <c r="O116" t="s">
        <v>922</v>
      </c>
      <c r="P116" t="s">
        <v>747</v>
      </c>
    </row>
    <row r="117" spans="1:16" x14ac:dyDescent="0.25">
      <c r="A117" t="s">
        <v>518</v>
      </c>
      <c r="I117" t="s">
        <v>718</v>
      </c>
      <c r="J117" t="s">
        <v>719</v>
      </c>
      <c r="K117">
        <v>20</v>
      </c>
      <c r="L117">
        <v>1</v>
      </c>
      <c r="M11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Q20020.1</v>
      </c>
      <c r="N11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I.13.20.1</v>
      </c>
    </row>
    <row r="118" spans="1:16" x14ac:dyDescent="0.25">
      <c r="A118" t="s">
        <v>518</v>
      </c>
      <c r="I118" t="s">
        <v>718</v>
      </c>
      <c r="J118" t="s">
        <v>719</v>
      </c>
      <c r="K118">
        <v>20</v>
      </c>
      <c r="L118">
        <v>2</v>
      </c>
      <c r="M11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Q20020.2</v>
      </c>
      <c r="N11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I.13.20.2</v>
      </c>
    </row>
    <row r="119" spans="1:16" x14ac:dyDescent="0.25">
      <c r="A119" t="s">
        <v>518</v>
      </c>
      <c r="I119" t="s">
        <v>718</v>
      </c>
      <c r="J119" t="s">
        <v>719</v>
      </c>
      <c r="K119">
        <v>20</v>
      </c>
      <c r="L119">
        <v>3</v>
      </c>
      <c r="M11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Q20020.3</v>
      </c>
      <c r="N11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I.13.20.3</v>
      </c>
    </row>
    <row r="120" spans="1:16" x14ac:dyDescent="0.25">
      <c r="A120" t="s">
        <v>518</v>
      </c>
      <c r="I120" t="s">
        <v>718</v>
      </c>
      <c r="J120" t="s">
        <v>719</v>
      </c>
      <c r="K120">
        <v>20</v>
      </c>
      <c r="L120">
        <v>4</v>
      </c>
      <c r="M12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Q20020.4</v>
      </c>
      <c r="N12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I.13.20.4</v>
      </c>
    </row>
    <row r="121" spans="1:16" x14ac:dyDescent="0.25">
      <c r="A121" t="s">
        <v>518</v>
      </c>
      <c r="I121" t="s">
        <v>718</v>
      </c>
      <c r="J121" t="s">
        <v>719</v>
      </c>
      <c r="K121">
        <v>20</v>
      </c>
      <c r="L121">
        <v>5</v>
      </c>
      <c r="M12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Q20020.5</v>
      </c>
      <c r="N12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I.13.20.5</v>
      </c>
    </row>
    <row r="122" spans="1:16" x14ac:dyDescent="0.25">
      <c r="A122" t="s">
        <v>518</v>
      </c>
      <c r="I122" t="s">
        <v>718</v>
      </c>
      <c r="J122" t="s">
        <v>719</v>
      </c>
      <c r="K122">
        <v>20</v>
      </c>
      <c r="L122">
        <v>6</v>
      </c>
      <c r="M12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Q20020.6</v>
      </c>
      <c r="N12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I.13.20.6</v>
      </c>
    </row>
    <row r="123" spans="1:16" x14ac:dyDescent="0.25">
      <c r="A123" t="s">
        <v>518</v>
      </c>
      <c r="I123" t="s">
        <v>718</v>
      </c>
      <c r="J123" t="s">
        <v>719</v>
      </c>
      <c r="K123">
        <v>20</v>
      </c>
      <c r="L123">
        <v>7</v>
      </c>
      <c r="M12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Q20020.7</v>
      </c>
      <c r="N12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I.13.20.7</v>
      </c>
    </row>
    <row r="124" spans="1:16" x14ac:dyDescent="0.25">
      <c r="A124" t="s">
        <v>518</v>
      </c>
      <c r="I124" t="s">
        <v>718</v>
      </c>
      <c r="J124" t="s">
        <v>719</v>
      </c>
      <c r="K124">
        <v>21</v>
      </c>
      <c r="L124">
        <v>0</v>
      </c>
      <c r="M12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Q20021.0</v>
      </c>
      <c r="N12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I.13.21.0</v>
      </c>
    </row>
    <row r="125" spans="1:16" x14ac:dyDescent="0.25">
      <c r="A125" t="s">
        <v>518</v>
      </c>
      <c r="I125" t="s">
        <v>718</v>
      </c>
      <c r="J125" t="s">
        <v>719</v>
      </c>
      <c r="K125">
        <v>21</v>
      </c>
      <c r="L125">
        <v>1</v>
      </c>
      <c r="M12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Q20021.1</v>
      </c>
      <c r="N12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I.13.21.1</v>
      </c>
    </row>
    <row r="126" spans="1:16" x14ac:dyDescent="0.25">
      <c r="A126" t="s">
        <v>518</v>
      </c>
      <c r="I126" t="s">
        <v>718</v>
      </c>
      <c r="J126" t="s">
        <v>719</v>
      </c>
      <c r="K126">
        <v>21</v>
      </c>
      <c r="L126">
        <v>2</v>
      </c>
      <c r="M12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Q20021.2</v>
      </c>
      <c r="N12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I.13.21.2</v>
      </c>
    </row>
    <row r="127" spans="1:16" x14ac:dyDescent="0.25">
      <c r="A127" t="s">
        <v>518</v>
      </c>
      <c r="I127" t="s">
        <v>718</v>
      </c>
      <c r="J127" t="s">
        <v>719</v>
      </c>
      <c r="K127">
        <v>21</v>
      </c>
      <c r="L127">
        <v>3</v>
      </c>
      <c r="M12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Q20021.3</v>
      </c>
      <c r="N12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I.13.21.3</v>
      </c>
    </row>
    <row r="128" spans="1:16" x14ac:dyDescent="0.25">
      <c r="A128" t="s">
        <v>518</v>
      </c>
      <c r="I128" t="s">
        <v>718</v>
      </c>
      <c r="J128" t="s">
        <v>719</v>
      </c>
      <c r="K128">
        <v>21</v>
      </c>
      <c r="L128">
        <v>4</v>
      </c>
      <c r="M12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Q20021.4</v>
      </c>
      <c r="N12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I.13.21.4</v>
      </c>
    </row>
    <row r="129" spans="1:16" x14ac:dyDescent="0.25">
      <c r="A129" t="s">
        <v>518</v>
      </c>
      <c r="I129" t="s">
        <v>718</v>
      </c>
      <c r="J129" t="s">
        <v>719</v>
      </c>
      <c r="K129">
        <v>21</v>
      </c>
      <c r="L129">
        <v>5</v>
      </c>
      <c r="M12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Q20021.5</v>
      </c>
      <c r="N12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I.13.21.5</v>
      </c>
    </row>
    <row r="130" spans="1:16" x14ac:dyDescent="0.25">
      <c r="A130" t="s">
        <v>518</v>
      </c>
      <c r="I130" t="s">
        <v>718</v>
      </c>
      <c r="J130" t="s">
        <v>719</v>
      </c>
      <c r="K130">
        <v>21</v>
      </c>
      <c r="L130">
        <v>6</v>
      </c>
      <c r="M13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Q20021.6</v>
      </c>
      <c r="N13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I.13.21.6</v>
      </c>
    </row>
    <row r="131" spans="1:16" x14ac:dyDescent="0.25">
      <c r="A131" t="s">
        <v>518</v>
      </c>
      <c r="I131" t="s">
        <v>718</v>
      </c>
      <c r="J131" t="s">
        <v>719</v>
      </c>
      <c r="K131">
        <v>21</v>
      </c>
      <c r="L131">
        <v>7</v>
      </c>
      <c r="M13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Q20021.7</v>
      </c>
      <c r="N13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I.13.21.7</v>
      </c>
    </row>
    <row r="133" spans="1:16" x14ac:dyDescent="0.25">
      <c r="A133" t="s">
        <v>523</v>
      </c>
      <c r="B133" t="s">
        <v>923</v>
      </c>
      <c r="C133" t="s">
        <v>459</v>
      </c>
      <c r="D133" t="s">
        <v>476</v>
      </c>
      <c r="E133" t="s">
        <v>522</v>
      </c>
      <c r="F133" t="s">
        <v>208</v>
      </c>
      <c r="G133" t="s">
        <v>139</v>
      </c>
      <c r="H133" t="s">
        <v>119</v>
      </c>
      <c r="I133" t="s">
        <v>718</v>
      </c>
      <c r="J133" t="s">
        <v>719</v>
      </c>
      <c r="K133">
        <v>22</v>
      </c>
      <c r="L133">
        <v>0</v>
      </c>
      <c r="M13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Q20022.0</v>
      </c>
      <c r="N13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I.13.22.0</v>
      </c>
      <c r="O133" t="s">
        <v>924</v>
      </c>
      <c r="P133" t="s">
        <v>925</v>
      </c>
    </row>
    <row r="134" spans="1:16" x14ac:dyDescent="0.25">
      <c r="A134" t="s">
        <v>523</v>
      </c>
      <c r="I134" t="s">
        <v>718</v>
      </c>
      <c r="J134" t="s">
        <v>719</v>
      </c>
      <c r="K134">
        <v>22</v>
      </c>
      <c r="L134">
        <v>1</v>
      </c>
      <c r="M13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Q20022.1</v>
      </c>
      <c r="N13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I.13.22.1</v>
      </c>
    </row>
    <row r="135" spans="1:16" x14ac:dyDescent="0.25">
      <c r="A135" t="s">
        <v>523</v>
      </c>
      <c r="I135" t="s">
        <v>718</v>
      </c>
      <c r="J135" t="s">
        <v>719</v>
      </c>
      <c r="K135">
        <v>22</v>
      </c>
      <c r="L135">
        <v>2</v>
      </c>
      <c r="M13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Q20022.2</v>
      </c>
      <c r="N13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I.13.22.2</v>
      </c>
    </row>
    <row r="136" spans="1:16" x14ac:dyDescent="0.25">
      <c r="A136" t="s">
        <v>523</v>
      </c>
      <c r="I136" t="s">
        <v>718</v>
      </c>
      <c r="J136" t="s">
        <v>719</v>
      </c>
      <c r="K136">
        <v>22</v>
      </c>
      <c r="L136">
        <v>3</v>
      </c>
      <c r="M13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Q20022.3</v>
      </c>
      <c r="N13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I.13.22.3</v>
      </c>
    </row>
    <row r="137" spans="1:16" x14ac:dyDescent="0.25">
      <c r="A137" t="s">
        <v>523</v>
      </c>
      <c r="I137" t="s">
        <v>718</v>
      </c>
      <c r="J137" t="s">
        <v>719</v>
      </c>
      <c r="K137">
        <v>22</v>
      </c>
      <c r="L137">
        <v>4</v>
      </c>
      <c r="M13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Q20022.4</v>
      </c>
      <c r="N13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I.13.22.4</v>
      </c>
    </row>
    <row r="138" spans="1:16" x14ac:dyDescent="0.25">
      <c r="A138" t="s">
        <v>523</v>
      </c>
      <c r="I138" t="s">
        <v>718</v>
      </c>
      <c r="J138" t="s">
        <v>719</v>
      </c>
      <c r="K138">
        <v>22</v>
      </c>
      <c r="L138">
        <v>5</v>
      </c>
      <c r="M13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Q20022.5</v>
      </c>
      <c r="N13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I.13.22.5</v>
      </c>
    </row>
    <row r="139" spans="1:16" x14ac:dyDescent="0.25">
      <c r="A139" t="s">
        <v>523</v>
      </c>
      <c r="I139" t="s">
        <v>718</v>
      </c>
      <c r="J139" t="s">
        <v>719</v>
      </c>
      <c r="K139">
        <v>22</v>
      </c>
      <c r="L139">
        <v>6</v>
      </c>
      <c r="M13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Q20022.6</v>
      </c>
      <c r="N13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I.13.22.6</v>
      </c>
    </row>
    <row r="140" spans="1:16" x14ac:dyDescent="0.25">
      <c r="A140" t="s">
        <v>523</v>
      </c>
      <c r="I140" t="s">
        <v>718</v>
      </c>
      <c r="J140" t="s">
        <v>719</v>
      </c>
      <c r="K140">
        <v>22</v>
      </c>
      <c r="L140">
        <v>7</v>
      </c>
      <c r="M14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Q20022.7</v>
      </c>
      <c r="N14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I.13.22.7</v>
      </c>
    </row>
    <row r="141" spans="1:16" x14ac:dyDescent="0.25">
      <c r="A141" t="s">
        <v>523</v>
      </c>
      <c r="I141" t="s">
        <v>718</v>
      </c>
      <c r="J141" t="s">
        <v>719</v>
      </c>
      <c r="K141">
        <v>23</v>
      </c>
      <c r="L141">
        <v>0</v>
      </c>
      <c r="M14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Q20023.0</v>
      </c>
      <c r="N14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I.13.23.0</v>
      </c>
    </row>
    <row r="142" spans="1:16" x14ac:dyDescent="0.25">
      <c r="A142" t="s">
        <v>523</v>
      </c>
      <c r="I142" t="s">
        <v>718</v>
      </c>
      <c r="J142" t="s">
        <v>719</v>
      </c>
      <c r="K142">
        <v>23</v>
      </c>
      <c r="L142">
        <v>1</v>
      </c>
      <c r="M14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Q20023.1</v>
      </c>
      <c r="N14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I.13.23.1</v>
      </c>
    </row>
    <row r="143" spans="1:16" x14ac:dyDescent="0.25">
      <c r="A143" t="s">
        <v>523</v>
      </c>
      <c r="I143" t="s">
        <v>718</v>
      </c>
      <c r="J143" t="s">
        <v>719</v>
      </c>
      <c r="K143">
        <v>23</v>
      </c>
      <c r="L143">
        <v>2</v>
      </c>
      <c r="M14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Q20023.2</v>
      </c>
      <c r="N14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I.13.23.2</v>
      </c>
    </row>
    <row r="144" spans="1:16" x14ac:dyDescent="0.25">
      <c r="A144" t="s">
        <v>523</v>
      </c>
      <c r="I144" t="s">
        <v>718</v>
      </c>
      <c r="J144" t="s">
        <v>719</v>
      </c>
      <c r="K144">
        <v>23</v>
      </c>
      <c r="L144">
        <v>3</v>
      </c>
      <c r="M14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Q20023.3</v>
      </c>
      <c r="N14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I.13.23.3</v>
      </c>
    </row>
    <row r="145" spans="1:16" x14ac:dyDescent="0.25">
      <c r="A145" t="s">
        <v>523</v>
      </c>
      <c r="I145" t="s">
        <v>718</v>
      </c>
      <c r="J145" t="s">
        <v>719</v>
      </c>
      <c r="K145">
        <v>23</v>
      </c>
      <c r="L145">
        <v>4</v>
      </c>
      <c r="M14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Q20023.4</v>
      </c>
      <c r="N14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I.13.23.4</v>
      </c>
    </row>
    <row r="146" spans="1:16" x14ac:dyDescent="0.25">
      <c r="A146" t="s">
        <v>523</v>
      </c>
      <c r="I146" t="s">
        <v>718</v>
      </c>
      <c r="J146" t="s">
        <v>719</v>
      </c>
      <c r="K146">
        <v>23</v>
      </c>
      <c r="L146">
        <v>5</v>
      </c>
      <c r="M14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Q20023.5</v>
      </c>
      <c r="N14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I.13.23.5</v>
      </c>
    </row>
    <row r="147" spans="1:16" x14ac:dyDescent="0.25">
      <c r="A147" t="s">
        <v>523</v>
      </c>
      <c r="I147" t="s">
        <v>718</v>
      </c>
      <c r="J147" t="s">
        <v>719</v>
      </c>
      <c r="K147">
        <v>23</v>
      </c>
      <c r="L147">
        <v>6</v>
      </c>
      <c r="M14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Q20023.6</v>
      </c>
      <c r="N14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I.13.23.6</v>
      </c>
    </row>
    <row r="148" spans="1:16" x14ac:dyDescent="0.25">
      <c r="A148" t="s">
        <v>523</v>
      </c>
      <c r="I148" t="s">
        <v>718</v>
      </c>
      <c r="J148" t="s">
        <v>719</v>
      </c>
      <c r="K148">
        <v>23</v>
      </c>
      <c r="L148">
        <v>7</v>
      </c>
      <c r="M14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Q20023.7</v>
      </c>
      <c r="N14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I.13.23.7</v>
      </c>
    </row>
    <row r="150" spans="1:16" x14ac:dyDescent="0.25">
      <c r="A150" t="s">
        <v>527</v>
      </c>
      <c r="B150" t="s">
        <v>926</v>
      </c>
      <c r="C150" t="s">
        <v>459</v>
      </c>
      <c r="D150" t="s">
        <v>476</v>
      </c>
      <c r="E150" t="s">
        <v>526</v>
      </c>
      <c r="F150" t="s">
        <v>208</v>
      </c>
      <c r="G150" t="s">
        <v>139</v>
      </c>
      <c r="H150" t="s">
        <v>125</v>
      </c>
      <c r="I150" t="s">
        <v>718</v>
      </c>
      <c r="J150" t="s">
        <v>719</v>
      </c>
      <c r="K150">
        <v>24</v>
      </c>
      <c r="L150">
        <v>0</v>
      </c>
      <c r="M15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Q20024.0</v>
      </c>
      <c r="N15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I.13.24.0</v>
      </c>
      <c r="O150" t="s">
        <v>927</v>
      </c>
      <c r="P150" t="s">
        <v>928</v>
      </c>
    </row>
    <row r="151" spans="1:16" x14ac:dyDescent="0.25">
      <c r="A151" t="s">
        <v>527</v>
      </c>
      <c r="I151" t="s">
        <v>718</v>
      </c>
      <c r="J151" t="s">
        <v>719</v>
      </c>
      <c r="K151">
        <v>24</v>
      </c>
      <c r="L151">
        <v>1</v>
      </c>
      <c r="M15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Q20024.1</v>
      </c>
      <c r="N15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I.13.24.1</v>
      </c>
    </row>
    <row r="152" spans="1:16" x14ac:dyDescent="0.25">
      <c r="A152" t="s">
        <v>527</v>
      </c>
      <c r="I152" t="s">
        <v>718</v>
      </c>
      <c r="J152" t="s">
        <v>719</v>
      </c>
      <c r="K152">
        <v>24</v>
      </c>
      <c r="L152">
        <v>2</v>
      </c>
      <c r="M15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Q20024.2</v>
      </c>
      <c r="N15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I.13.24.2</v>
      </c>
    </row>
    <row r="153" spans="1:16" x14ac:dyDescent="0.25">
      <c r="A153" t="s">
        <v>527</v>
      </c>
      <c r="I153" t="s">
        <v>718</v>
      </c>
      <c r="J153" t="s">
        <v>719</v>
      </c>
      <c r="K153">
        <v>24</v>
      </c>
      <c r="L153">
        <v>3</v>
      </c>
      <c r="M15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Q20024.3</v>
      </c>
      <c r="N15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I.13.24.3</v>
      </c>
    </row>
    <row r="154" spans="1:16" x14ac:dyDescent="0.25">
      <c r="A154" t="s">
        <v>527</v>
      </c>
      <c r="I154" t="s">
        <v>718</v>
      </c>
      <c r="J154" t="s">
        <v>719</v>
      </c>
      <c r="K154">
        <v>24</v>
      </c>
      <c r="L154">
        <v>4</v>
      </c>
      <c r="M15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Q20024.4</v>
      </c>
      <c r="N15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I.13.24.4</v>
      </c>
    </row>
    <row r="155" spans="1:16" x14ac:dyDescent="0.25">
      <c r="A155" t="s">
        <v>527</v>
      </c>
      <c r="I155" t="s">
        <v>718</v>
      </c>
      <c r="J155" t="s">
        <v>719</v>
      </c>
      <c r="K155">
        <v>24</v>
      </c>
      <c r="L155">
        <v>5</v>
      </c>
      <c r="M15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Q20024.5</v>
      </c>
      <c r="N15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I.13.24.5</v>
      </c>
    </row>
    <row r="156" spans="1:16" x14ac:dyDescent="0.25">
      <c r="A156" t="s">
        <v>527</v>
      </c>
      <c r="I156" t="s">
        <v>718</v>
      </c>
      <c r="J156" t="s">
        <v>719</v>
      </c>
      <c r="K156">
        <v>24</v>
      </c>
      <c r="L156">
        <v>6</v>
      </c>
      <c r="M15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Q20024.6</v>
      </c>
      <c r="N15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I.13.24.6</v>
      </c>
    </row>
    <row r="157" spans="1:16" x14ac:dyDescent="0.25">
      <c r="A157" t="s">
        <v>527</v>
      </c>
      <c r="I157" t="s">
        <v>718</v>
      </c>
      <c r="J157" t="s">
        <v>719</v>
      </c>
      <c r="K157">
        <v>24</v>
      </c>
      <c r="L157">
        <v>7</v>
      </c>
      <c r="M15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Q20024.7</v>
      </c>
      <c r="N15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I.13.24.7</v>
      </c>
    </row>
    <row r="158" spans="1:16" x14ac:dyDescent="0.25">
      <c r="A158" t="s">
        <v>527</v>
      </c>
      <c r="I158" t="s">
        <v>718</v>
      </c>
      <c r="J158" t="s">
        <v>719</v>
      </c>
      <c r="K158">
        <v>25</v>
      </c>
      <c r="L158">
        <v>0</v>
      </c>
      <c r="M15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Q20025.0</v>
      </c>
      <c r="N15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I.13.25.0</v>
      </c>
    </row>
    <row r="159" spans="1:16" x14ac:dyDescent="0.25">
      <c r="A159" t="s">
        <v>527</v>
      </c>
      <c r="I159" t="s">
        <v>718</v>
      </c>
      <c r="J159" t="s">
        <v>719</v>
      </c>
      <c r="K159">
        <v>25</v>
      </c>
      <c r="L159">
        <v>1</v>
      </c>
      <c r="M15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Q20025.1</v>
      </c>
      <c r="N15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I.13.25.1</v>
      </c>
    </row>
    <row r="160" spans="1:16" x14ac:dyDescent="0.25">
      <c r="A160" t="s">
        <v>527</v>
      </c>
      <c r="I160" t="s">
        <v>718</v>
      </c>
      <c r="J160" t="s">
        <v>719</v>
      </c>
      <c r="K160">
        <v>25</v>
      </c>
      <c r="L160">
        <v>2</v>
      </c>
      <c r="M16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Q20025.2</v>
      </c>
      <c r="N16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I.13.25.2</v>
      </c>
    </row>
    <row r="161" spans="1:16" x14ac:dyDescent="0.25">
      <c r="A161" t="s">
        <v>527</v>
      </c>
      <c r="I161" t="s">
        <v>718</v>
      </c>
      <c r="J161" t="s">
        <v>719</v>
      </c>
      <c r="K161">
        <v>25</v>
      </c>
      <c r="L161">
        <v>3</v>
      </c>
      <c r="M16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Q20025.3</v>
      </c>
      <c r="N16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I.13.25.3</v>
      </c>
    </row>
    <row r="162" spans="1:16" x14ac:dyDescent="0.25">
      <c r="A162" t="s">
        <v>527</v>
      </c>
      <c r="I162" t="s">
        <v>718</v>
      </c>
      <c r="J162" t="s">
        <v>719</v>
      </c>
      <c r="K162">
        <v>25</v>
      </c>
      <c r="L162">
        <v>4</v>
      </c>
      <c r="M16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Q20025.4</v>
      </c>
      <c r="N16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I.13.25.4</v>
      </c>
    </row>
    <row r="163" spans="1:16" x14ac:dyDescent="0.25">
      <c r="A163" t="s">
        <v>527</v>
      </c>
      <c r="I163" t="s">
        <v>718</v>
      </c>
      <c r="J163" t="s">
        <v>719</v>
      </c>
      <c r="K163">
        <v>25</v>
      </c>
      <c r="L163">
        <v>5</v>
      </c>
      <c r="M16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Q20025.5</v>
      </c>
      <c r="N16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I.13.25.5</v>
      </c>
    </row>
    <row r="164" spans="1:16" x14ac:dyDescent="0.25">
      <c r="A164" t="s">
        <v>527</v>
      </c>
      <c r="I164" t="s">
        <v>718</v>
      </c>
      <c r="J164" t="s">
        <v>719</v>
      </c>
      <c r="K164">
        <v>25</v>
      </c>
      <c r="L164">
        <v>6</v>
      </c>
      <c r="M16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Q20025.6</v>
      </c>
      <c r="N16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I.13.25.6</v>
      </c>
    </row>
    <row r="165" spans="1:16" x14ac:dyDescent="0.25">
      <c r="A165" t="s">
        <v>527</v>
      </c>
      <c r="I165" t="s">
        <v>718</v>
      </c>
      <c r="J165" t="s">
        <v>719</v>
      </c>
      <c r="K165">
        <v>25</v>
      </c>
      <c r="L165">
        <v>7</v>
      </c>
      <c r="M16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Q20025.7</v>
      </c>
      <c r="N16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I.13.25.7</v>
      </c>
    </row>
    <row r="167" spans="1:16" x14ac:dyDescent="0.25">
      <c r="A167" t="s">
        <v>236</v>
      </c>
      <c r="B167" t="s">
        <v>929</v>
      </c>
      <c r="C167" t="s">
        <v>459</v>
      </c>
      <c r="D167" t="s">
        <v>476</v>
      </c>
      <c r="E167" t="s">
        <v>233</v>
      </c>
      <c r="F167" t="s">
        <v>238</v>
      </c>
      <c r="G167" t="s">
        <v>133</v>
      </c>
      <c r="H167" t="s">
        <v>108</v>
      </c>
      <c r="I167" t="s">
        <v>718</v>
      </c>
      <c r="J167" t="s">
        <v>719</v>
      </c>
      <c r="K167">
        <v>26</v>
      </c>
      <c r="L167">
        <v>0</v>
      </c>
      <c r="M16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Q20026.0</v>
      </c>
      <c r="N16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I.13.26.0</v>
      </c>
      <c r="O167" t="s">
        <v>930</v>
      </c>
      <c r="P167" t="s">
        <v>931</v>
      </c>
    </row>
    <row r="168" spans="1:16" x14ac:dyDescent="0.25">
      <c r="A168" t="s">
        <v>236</v>
      </c>
      <c r="B168" t="s">
        <v>932</v>
      </c>
      <c r="C168" t="s">
        <v>459</v>
      </c>
      <c r="D168" t="s">
        <v>549</v>
      </c>
      <c r="E168" t="s">
        <v>345</v>
      </c>
      <c r="F168" t="s">
        <v>238</v>
      </c>
      <c r="G168" t="s">
        <v>133</v>
      </c>
      <c r="H168" t="s">
        <v>113</v>
      </c>
      <c r="I168" t="s">
        <v>718</v>
      </c>
      <c r="J168" t="s">
        <v>719</v>
      </c>
      <c r="K168">
        <v>26</v>
      </c>
      <c r="L168">
        <v>1</v>
      </c>
      <c r="M16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Q20026.1</v>
      </c>
      <c r="N16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I.13.26.1</v>
      </c>
      <c r="O168" t="s">
        <v>933</v>
      </c>
      <c r="P168" t="s">
        <v>934</v>
      </c>
    </row>
    <row r="169" spans="1:16" x14ac:dyDescent="0.25">
      <c r="A169" t="s">
        <v>236</v>
      </c>
      <c r="B169" t="s">
        <v>935</v>
      </c>
      <c r="C169" t="s">
        <v>45</v>
      </c>
      <c r="D169" t="s">
        <v>71</v>
      </c>
      <c r="E169" t="s">
        <v>233</v>
      </c>
      <c r="F169" t="s">
        <v>238</v>
      </c>
      <c r="G169" t="s">
        <v>133</v>
      </c>
      <c r="H169" t="s">
        <v>119</v>
      </c>
      <c r="I169" t="s">
        <v>718</v>
      </c>
      <c r="J169" t="s">
        <v>719</v>
      </c>
      <c r="K169">
        <v>26</v>
      </c>
      <c r="L169">
        <v>2</v>
      </c>
      <c r="M16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Q20026.2</v>
      </c>
      <c r="N16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I.13.26.2</v>
      </c>
      <c r="O169" t="s">
        <v>936</v>
      </c>
      <c r="P169" t="s">
        <v>937</v>
      </c>
    </row>
    <row r="170" spans="1:16" x14ac:dyDescent="0.25">
      <c r="A170" t="s">
        <v>236</v>
      </c>
      <c r="B170" t="s">
        <v>938</v>
      </c>
      <c r="C170" t="s">
        <v>45</v>
      </c>
      <c r="D170" t="s">
        <v>277</v>
      </c>
      <c r="E170" t="s">
        <v>345</v>
      </c>
      <c r="F170" t="s">
        <v>238</v>
      </c>
      <c r="G170" t="s">
        <v>133</v>
      </c>
      <c r="H170" t="s">
        <v>125</v>
      </c>
      <c r="I170" t="s">
        <v>718</v>
      </c>
      <c r="J170" t="s">
        <v>719</v>
      </c>
      <c r="K170">
        <v>26</v>
      </c>
      <c r="L170">
        <v>3</v>
      </c>
      <c r="M17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Q20026.3</v>
      </c>
      <c r="N17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I.13.26.3</v>
      </c>
      <c r="O170" t="s">
        <v>939</v>
      </c>
      <c r="P170" t="s">
        <v>940</v>
      </c>
    </row>
    <row r="171" spans="1:16" x14ac:dyDescent="0.25">
      <c r="A171" t="s">
        <v>236</v>
      </c>
      <c r="I171" t="s">
        <v>718</v>
      </c>
      <c r="J171" t="s">
        <v>719</v>
      </c>
      <c r="K171">
        <v>26</v>
      </c>
      <c r="L171">
        <v>4</v>
      </c>
      <c r="M17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Q20026.4</v>
      </c>
      <c r="N17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I.13.26.4</v>
      </c>
    </row>
    <row r="172" spans="1:16" x14ac:dyDescent="0.25">
      <c r="A172" t="s">
        <v>236</v>
      </c>
      <c r="I172" t="s">
        <v>718</v>
      </c>
      <c r="J172" t="s">
        <v>719</v>
      </c>
      <c r="K172">
        <v>26</v>
      </c>
      <c r="L172">
        <v>5</v>
      </c>
      <c r="M17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Q20026.5</v>
      </c>
      <c r="N17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I.13.26.5</v>
      </c>
    </row>
    <row r="173" spans="1:16" x14ac:dyDescent="0.25">
      <c r="A173" t="s">
        <v>236</v>
      </c>
      <c r="I173" t="s">
        <v>718</v>
      </c>
      <c r="J173" t="s">
        <v>719</v>
      </c>
      <c r="K173">
        <v>26</v>
      </c>
      <c r="L173">
        <v>6</v>
      </c>
      <c r="M17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Q20026.6</v>
      </c>
      <c r="N17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I.13.26.6</v>
      </c>
    </row>
    <row r="174" spans="1:16" x14ac:dyDescent="0.25">
      <c r="A174" t="s">
        <v>236</v>
      </c>
      <c r="I174" t="s">
        <v>718</v>
      </c>
      <c r="J174" t="s">
        <v>719</v>
      </c>
      <c r="K174">
        <v>26</v>
      </c>
      <c r="L174">
        <v>7</v>
      </c>
      <c r="M17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Q20026.7</v>
      </c>
      <c r="N17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I.13.26.7</v>
      </c>
    </row>
    <row r="175" spans="1:16" x14ac:dyDescent="0.25">
      <c r="A175" t="s">
        <v>236</v>
      </c>
      <c r="I175" t="s">
        <v>718</v>
      </c>
      <c r="J175" t="s">
        <v>719</v>
      </c>
      <c r="K175">
        <v>27</v>
      </c>
      <c r="L175">
        <v>0</v>
      </c>
      <c r="M17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Q20027.0</v>
      </c>
      <c r="N17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I.13.27.0</v>
      </c>
    </row>
    <row r="176" spans="1:16" x14ac:dyDescent="0.25">
      <c r="A176" t="s">
        <v>236</v>
      </c>
      <c r="I176" t="s">
        <v>718</v>
      </c>
      <c r="J176" t="s">
        <v>719</v>
      </c>
      <c r="K176">
        <v>27</v>
      </c>
      <c r="L176">
        <v>1</v>
      </c>
      <c r="M17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Q20027.1</v>
      </c>
      <c r="N17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I.13.27.1</v>
      </c>
    </row>
    <row r="177" spans="1:16" x14ac:dyDescent="0.25">
      <c r="A177" t="s">
        <v>236</v>
      </c>
      <c r="I177" t="s">
        <v>718</v>
      </c>
      <c r="J177" t="s">
        <v>719</v>
      </c>
      <c r="K177">
        <v>27</v>
      </c>
      <c r="L177">
        <v>2</v>
      </c>
      <c r="M17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Q20027.2</v>
      </c>
      <c r="N17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I.13.27.2</v>
      </c>
    </row>
    <row r="178" spans="1:16" x14ac:dyDescent="0.25">
      <c r="A178" t="s">
        <v>236</v>
      </c>
      <c r="I178" t="s">
        <v>718</v>
      </c>
      <c r="J178" t="s">
        <v>719</v>
      </c>
      <c r="K178">
        <v>27</v>
      </c>
      <c r="L178">
        <v>3</v>
      </c>
      <c r="M17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Q20027.3</v>
      </c>
      <c r="N17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I.13.27.3</v>
      </c>
    </row>
    <row r="179" spans="1:16" x14ac:dyDescent="0.25">
      <c r="A179" t="s">
        <v>236</v>
      </c>
      <c r="I179" t="s">
        <v>718</v>
      </c>
      <c r="J179" t="s">
        <v>719</v>
      </c>
      <c r="K179">
        <v>27</v>
      </c>
      <c r="L179">
        <v>4</v>
      </c>
      <c r="M17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Q20027.4</v>
      </c>
      <c r="N17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I.13.27.4</v>
      </c>
    </row>
    <row r="180" spans="1:16" x14ac:dyDescent="0.25">
      <c r="A180" t="s">
        <v>236</v>
      </c>
      <c r="I180" t="s">
        <v>718</v>
      </c>
      <c r="J180" t="s">
        <v>719</v>
      </c>
      <c r="K180">
        <v>27</v>
      </c>
      <c r="L180">
        <v>5</v>
      </c>
      <c r="M18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Q20027.5</v>
      </c>
      <c r="N18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I.13.27.5</v>
      </c>
    </row>
    <row r="181" spans="1:16" x14ac:dyDescent="0.25">
      <c r="A181" t="s">
        <v>236</v>
      </c>
      <c r="I181" t="s">
        <v>718</v>
      </c>
      <c r="J181" t="s">
        <v>719</v>
      </c>
      <c r="K181">
        <v>27</v>
      </c>
      <c r="L181">
        <v>6</v>
      </c>
      <c r="M18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Q20027.6</v>
      </c>
      <c r="N18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I.13.27.6</v>
      </c>
    </row>
    <row r="182" spans="1:16" x14ac:dyDescent="0.25">
      <c r="A182" t="s">
        <v>236</v>
      </c>
      <c r="I182" t="s">
        <v>718</v>
      </c>
      <c r="J182" t="s">
        <v>719</v>
      </c>
      <c r="K182">
        <v>27</v>
      </c>
      <c r="L182">
        <v>7</v>
      </c>
      <c r="M1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Q20027.7</v>
      </c>
      <c r="N1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I.13.27.7</v>
      </c>
    </row>
    <row r="184" spans="1:16" x14ac:dyDescent="0.25">
      <c r="A184" t="s">
        <v>245</v>
      </c>
      <c r="B184" t="s">
        <v>748</v>
      </c>
      <c r="C184" t="s">
        <v>459</v>
      </c>
      <c r="D184" t="s">
        <v>476</v>
      </c>
      <c r="E184" t="s">
        <v>243</v>
      </c>
      <c r="F184" t="s">
        <v>246</v>
      </c>
      <c r="G184" t="s">
        <v>121</v>
      </c>
      <c r="H184" t="s">
        <v>108</v>
      </c>
      <c r="I184" t="s">
        <v>718</v>
      </c>
      <c r="J184" t="s">
        <v>719</v>
      </c>
      <c r="K184">
        <v>28</v>
      </c>
      <c r="L184">
        <v>0</v>
      </c>
      <c r="M18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Q20028.0</v>
      </c>
      <c r="N18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I.13.28.0</v>
      </c>
      <c r="O184" t="s">
        <v>941</v>
      </c>
      <c r="P184" t="s">
        <v>750</v>
      </c>
    </row>
    <row r="185" spans="1:16" x14ac:dyDescent="0.25">
      <c r="A185" t="s">
        <v>245</v>
      </c>
      <c r="B185" t="s">
        <v>942</v>
      </c>
      <c r="C185" t="s">
        <v>45</v>
      </c>
      <c r="D185" t="s">
        <v>71</v>
      </c>
      <c r="E185" t="s">
        <v>243</v>
      </c>
      <c r="F185" t="s">
        <v>246</v>
      </c>
      <c r="G185" t="s">
        <v>121</v>
      </c>
      <c r="H185" t="s">
        <v>113</v>
      </c>
      <c r="I185" t="s">
        <v>718</v>
      </c>
      <c r="J185" t="s">
        <v>719</v>
      </c>
      <c r="K185">
        <v>28</v>
      </c>
      <c r="L185">
        <v>1</v>
      </c>
      <c r="M18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Q20028.1</v>
      </c>
      <c r="N18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I.13.28.1</v>
      </c>
      <c r="O185" t="s">
        <v>943</v>
      </c>
      <c r="P185" t="s">
        <v>944</v>
      </c>
    </row>
    <row r="186" spans="1:16" x14ac:dyDescent="0.25">
      <c r="A186" t="s">
        <v>245</v>
      </c>
      <c r="I186" t="s">
        <v>718</v>
      </c>
      <c r="J186" t="s">
        <v>719</v>
      </c>
      <c r="K186">
        <v>28</v>
      </c>
      <c r="L186">
        <v>2</v>
      </c>
      <c r="M18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Q20028.2</v>
      </c>
      <c r="N18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I.13.28.2</v>
      </c>
    </row>
    <row r="187" spans="1:16" x14ac:dyDescent="0.25">
      <c r="A187" t="s">
        <v>245</v>
      </c>
      <c r="I187" t="s">
        <v>718</v>
      </c>
      <c r="J187" t="s">
        <v>719</v>
      </c>
      <c r="K187">
        <v>28</v>
      </c>
      <c r="L187">
        <v>3</v>
      </c>
      <c r="M18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Q20028.3</v>
      </c>
      <c r="N18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I.13.28.3</v>
      </c>
    </row>
    <row r="188" spans="1:16" x14ac:dyDescent="0.25">
      <c r="A188" t="s">
        <v>245</v>
      </c>
      <c r="I188" t="s">
        <v>718</v>
      </c>
      <c r="J188" t="s">
        <v>719</v>
      </c>
      <c r="K188">
        <v>28</v>
      </c>
      <c r="L188">
        <v>4</v>
      </c>
      <c r="M18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Q20028.4</v>
      </c>
      <c r="N18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I.13.28.4</v>
      </c>
    </row>
    <row r="189" spans="1:16" x14ac:dyDescent="0.25">
      <c r="A189" t="s">
        <v>245</v>
      </c>
      <c r="I189" t="s">
        <v>718</v>
      </c>
      <c r="J189" t="s">
        <v>719</v>
      </c>
      <c r="K189">
        <v>28</v>
      </c>
      <c r="L189">
        <v>5</v>
      </c>
      <c r="M18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Q20028.5</v>
      </c>
      <c r="N18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I.13.28.5</v>
      </c>
    </row>
    <row r="190" spans="1:16" x14ac:dyDescent="0.25">
      <c r="A190" t="s">
        <v>245</v>
      </c>
      <c r="I190" t="s">
        <v>718</v>
      </c>
      <c r="J190" t="s">
        <v>719</v>
      </c>
      <c r="K190">
        <v>28</v>
      </c>
      <c r="L190">
        <v>6</v>
      </c>
      <c r="M19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Q20028.6</v>
      </c>
      <c r="N19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I.13.28.6</v>
      </c>
    </row>
    <row r="191" spans="1:16" x14ac:dyDescent="0.25">
      <c r="A191" t="s">
        <v>245</v>
      </c>
      <c r="I191" t="s">
        <v>718</v>
      </c>
      <c r="J191" t="s">
        <v>719</v>
      </c>
      <c r="K191">
        <v>28</v>
      </c>
      <c r="L191">
        <v>7</v>
      </c>
      <c r="M19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Q20028.7</v>
      </c>
      <c r="N19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I.13.28.7</v>
      </c>
    </row>
    <row r="192" spans="1:16" x14ac:dyDescent="0.25">
      <c r="A192" t="s">
        <v>245</v>
      </c>
      <c r="I192" t="s">
        <v>718</v>
      </c>
      <c r="J192" t="s">
        <v>719</v>
      </c>
      <c r="K192">
        <v>29</v>
      </c>
      <c r="L192">
        <v>0</v>
      </c>
      <c r="M19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Q20029.0</v>
      </c>
      <c r="N19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I.13.29.0</v>
      </c>
    </row>
    <row r="193" spans="1:16" x14ac:dyDescent="0.25">
      <c r="A193" t="s">
        <v>245</v>
      </c>
      <c r="I193" t="s">
        <v>718</v>
      </c>
      <c r="J193" t="s">
        <v>719</v>
      </c>
      <c r="K193">
        <v>29</v>
      </c>
      <c r="L193">
        <v>1</v>
      </c>
      <c r="M19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Q20029.1</v>
      </c>
      <c r="N19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I.13.29.1</v>
      </c>
    </row>
    <row r="194" spans="1:16" x14ac:dyDescent="0.25">
      <c r="A194" t="s">
        <v>245</v>
      </c>
      <c r="I194" t="s">
        <v>718</v>
      </c>
      <c r="J194" t="s">
        <v>719</v>
      </c>
      <c r="K194">
        <v>29</v>
      </c>
      <c r="L194">
        <v>2</v>
      </c>
      <c r="M19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Q20029.2</v>
      </c>
      <c r="N19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I.13.29.2</v>
      </c>
    </row>
    <row r="195" spans="1:16" x14ac:dyDescent="0.25">
      <c r="A195" t="s">
        <v>245</v>
      </c>
      <c r="I195" t="s">
        <v>718</v>
      </c>
      <c r="J195" t="s">
        <v>719</v>
      </c>
      <c r="K195">
        <v>29</v>
      </c>
      <c r="L195">
        <v>3</v>
      </c>
      <c r="M19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Q20029.3</v>
      </c>
      <c r="N19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I.13.29.3</v>
      </c>
    </row>
    <row r="196" spans="1:16" x14ac:dyDescent="0.25">
      <c r="A196" t="s">
        <v>245</v>
      </c>
      <c r="I196" t="s">
        <v>718</v>
      </c>
      <c r="J196" t="s">
        <v>719</v>
      </c>
      <c r="K196">
        <v>29</v>
      </c>
      <c r="L196">
        <v>4</v>
      </c>
      <c r="M19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Q20029.4</v>
      </c>
      <c r="N19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I.13.29.4</v>
      </c>
    </row>
    <row r="197" spans="1:16" x14ac:dyDescent="0.25">
      <c r="A197" t="s">
        <v>245</v>
      </c>
      <c r="I197" t="s">
        <v>718</v>
      </c>
      <c r="J197" t="s">
        <v>719</v>
      </c>
      <c r="K197">
        <v>29</v>
      </c>
      <c r="L197">
        <v>5</v>
      </c>
      <c r="M19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Q20029.5</v>
      </c>
      <c r="N19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I.13.29.5</v>
      </c>
    </row>
    <row r="198" spans="1:16" x14ac:dyDescent="0.25">
      <c r="A198" t="s">
        <v>245</v>
      </c>
      <c r="I198" t="s">
        <v>718</v>
      </c>
      <c r="J198" t="s">
        <v>719</v>
      </c>
      <c r="K198">
        <v>29</v>
      </c>
      <c r="L198">
        <v>6</v>
      </c>
      <c r="M19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Q20029.6</v>
      </c>
      <c r="N19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I.13.29.6</v>
      </c>
    </row>
    <row r="199" spans="1:16" x14ac:dyDescent="0.25">
      <c r="A199" t="s">
        <v>245</v>
      </c>
      <c r="I199" t="s">
        <v>718</v>
      </c>
      <c r="J199" t="s">
        <v>719</v>
      </c>
      <c r="K199">
        <v>29</v>
      </c>
      <c r="L199">
        <v>7</v>
      </c>
      <c r="M19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Q20029.7</v>
      </c>
      <c r="N19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I.13.29.7</v>
      </c>
    </row>
    <row r="201" spans="1:16" x14ac:dyDescent="0.25">
      <c r="A201" t="s">
        <v>258</v>
      </c>
      <c r="B201" t="s">
        <v>751</v>
      </c>
      <c r="C201" t="s">
        <v>459</v>
      </c>
      <c r="D201" t="s">
        <v>476</v>
      </c>
      <c r="E201" t="s">
        <v>257</v>
      </c>
      <c r="F201" t="s">
        <v>259</v>
      </c>
      <c r="G201" t="s">
        <v>127</v>
      </c>
      <c r="H201" t="s">
        <v>108</v>
      </c>
      <c r="I201" t="s">
        <v>718</v>
      </c>
      <c r="J201" t="s">
        <v>719</v>
      </c>
      <c r="K201">
        <v>30</v>
      </c>
      <c r="L201">
        <v>0</v>
      </c>
      <c r="M20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Q20030.0</v>
      </c>
      <c r="N20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I.13.30.0</v>
      </c>
      <c r="O201" t="s">
        <v>945</v>
      </c>
      <c r="P201" t="s">
        <v>753</v>
      </c>
    </row>
    <row r="202" spans="1:16" x14ac:dyDescent="0.25">
      <c r="A202" t="s">
        <v>258</v>
      </c>
      <c r="B202" t="s">
        <v>946</v>
      </c>
      <c r="C202" t="s">
        <v>45</v>
      </c>
      <c r="D202" t="s">
        <v>71</v>
      </c>
      <c r="E202" t="s">
        <v>257</v>
      </c>
      <c r="F202" t="s">
        <v>259</v>
      </c>
      <c r="G202" t="s">
        <v>127</v>
      </c>
      <c r="H202" t="s">
        <v>113</v>
      </c>
      <c r="I202" t="s">
        <v>718</v>
      </c>
      <c r="J202" t="s">
        <v>719</v>
      </c>
      <c r="K202">
        <v>30</v>
      </c>
      <c r="L202">
        <v>1</v>
      </c>
      <c r="M20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Q20030.1</v>
      </c>
      <c r="N20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I.13.30.1</v>
      </c>
      <c r="O202" t="s">
        <v>947</v>
      </c>
      <c r="P202" t="s">
        <v>948</v>
      </c>
    </row>
    <row r="203" spans="1:16" x14ac:dyDescent="0.25">
      <c r="A203" t="s">
        <v>258</v>
      </c>
      <c r="I203" t="s">
        <v>718</v>
      </c>
      <c r="J203" t="s">
        <v>719</v>
      </c>
      <c r="K203">
        <v>30</v>
      </c>
      <c r="L203">
        <v>2</v>
      </c>
      <c r="M20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Q20030.2</v>
      </c>
      <c r="N20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I.13.30.2</v>
      </c>
    </row>
    <row r="204" spans="1:16" x14ac:dyDescent="0.25">
      <c r="A204" t="s">
        <v>258</v>
      </c>
      <c r="I204" t="s">
        <v>718</v>
      </c>
      <c r="J204" t="s">
        <v>719</v>
      </c>
      <c r="K204">
        <v>30</v>
      </c>
      <c r="L204">
        <v>3</v>
      </c>
      <c r="M20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Q20030.3</v>
      </c>
      <c r="N20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I.13.30.3</v>
      </c>
    </row>
    <row r="205" spans="1:16" x14ac:dyDescent="0.25">
      <c r="A205" t="s">
        <v>258</v>
      </c>
      <c r="I205" t="s">
        <v>718</v>
      </c>
      <c r="J205" t="s">
        <v>719</v>
      </c>
      <c r="K205">
        <v>30</v>
      </c>
      <c r="L205">
        <v>4</v>
      </c>
      <c r="M20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Q20030.4</v>
      </c>
      <c r="N20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I.13.30.4</v>
      </c>
    </row>
    <row r="206" spans="1:16" x14ac:dyDescent="0.25">
      <c r="A206" t="s">
        <v>258</v>
      </c>
      <c r="I206" t="s">
        <v>718</v>
      </c>
      <c r="J206" t="s">
        <v>719</v>
      </c>
      <c r="K206">
        <v>30</v>
      </c>
      <c r="L206">
        <v>5</v>
      </c>
      <c r="M20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Q20030.5</v>
      </c>
      <c r="N20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I.13.30.5</v>
      </c>
    </row>
    <row r="207" spans="1:16" x14ac:dyDescent="0.25">
      <c r="A207" t="s">
        <v>258</v>
      </c>
      <c r="I207" t="s">
        <v>718</v>
      </c>
      <c r="J207" t="s">
        <v>719</v>
      </c>
      <c r="K207">
        <v>30</v>
      </c>
      <c r="L207">
        <v>6</v>
      </c>
      <c r="M20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Q20030.6</v>
      </c>
      <c r="N20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I.13.30.6</v>
      </c>
    </row>
    <row r="208" spans="1:16" x14ac:dyDescent="0.25">
      <c r="A208" t="s">
        <v>258</v>
      </c>
      <c r="I208" t="s">
        <v>718</v>
      </c>
      <c r="J208" t="s">
        <v>719</v>
      </c>
      <c r="K208">
        <v>30</v>
      </c>
      <c r="L208">
        <v>7</v>
      </c>
      <c r="M20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Q20030.7</v>
      </c>
      <c r="N20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I.13.30.7</v>
      </c>
    </row>
    <row r="209" spans="1:16" x14ac:dyDescent="0.25">
      <c r="A209" t="s">
        <v>258</v>
      </c>
      <c r="I209" t="s">
        <v>718</v>
      </c>
      <c r="J209" t="s">
        <v>719</v>
      </c>
      <c r="K209">
        <v>31</v>
      </c>
      <c r="L209">
        <v>0</v>
      </c>
      <c r="M20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Q20031.0</v>
      </c>
      <c r="N20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I.13.31.0</v>
      </c>
    </row>
    <row r="210" spans="1:16" x14ac:dyDescent="0.25">
      <c r="A210" t="s">
        <v>258</v>
      </c>
      <c r="I210" t="s">
        <v>718</v>
      </c>
      <c r="J210" t="s">
        <v>719</v>
      </c>
      <c r="K210">
        <v>31</v>
      </c>
      <c r="L210">
        <v>1</v>
      </c>
      <c r="M21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Q20031.1</v>
      </c>
      <c r="N21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I.13.31.1</v>
      </c>
    </row>
    <row r="211" spans="1:16" x14ac:dyDescent="0.25">
      <c r="A211" t="s">
        <v>258</v>
      </c>
      <c r="I211" t="s">
        <v>718</v>
      </c>
      <c r="J211" t="s">
        <v>719</v>
      </c>
      <c r="K211">
        <v>31</v>
      </c>
      <c r="L211">
        <v>2</v>
      </c>
      <c r="M21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Q20031.2</v>
      </c>
      <c r="N21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I.13.31.2</v>
      </c>
    </row>
    <row r="212" spans="1:16" x14ac:dyDescent="0.25">
      <c r="A212" t="s">
        <v>258</v>
      </c>
      <c r="I212" t="s">
        <v>718</v>
      </c>
      <c r="J212" t="s">
        <v>719</v>
      </c>
      <c r="K212">
        <v>31</v>
      </c>
      <c r="L212">
        <v>3</v>
      </c>
      <c r="M21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Q20031.3</v>
      </c>
      <c r="N21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I.13.31.3</v>
      </c>
    </row>
    <row r="213" spans="1:16" x14ac:dyDescent="0.25">
      <c r="A213" t="s">
        <v>258</v>
      </c>
      <c r="I213" t="s">
        <v>718</v>
      </c>
      <c r="J213" t="s">
        <v>719</v>
      </c>
      <c r="K213">
        <v>31</v>
      </c>
      <c r="L213">
        <v>4</v>
      </c>
      <c r="M21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Q20031.4</v>
      </c>
      <c r="N21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I.13.31.4</v>
      </c>
    </row>
    <row r="214" spans="1:16" x14ac:dyDescent="0.25">
      <c r="A214" t="s">
        <v>258</v>
      </c>
      <c r="I214" t="s">
        <v>718</v>
      </c>
      <c r="J214" t="s">
        <v>719</v>
      </c>
      <c r="K214">
        <v>31</v>
      </c>
      <c r="L214">
        <v>5</v>
      </c>
      <c r="M21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Q20031.5</v>
      </c>
      <c r="N21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I.13.31.5</v>
      </c>
    </row>
    <row r="215" spans="1:16" x14ac:dyDescent="0.25">
      <c r="A215" t="s">
        <v>258</v>
      </c>
      <c r="I215" t="s">
        <v>718</v>
      </c>
      <c r="J215" t="s">
        <v>719</v>
      </c>
      <c r="K215">
        <v>31</v>
      </c>
      <c r="L215">
        <v>6</v>
      </c>
      <c r="M21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Q20031.6</v>
      </c>
      <c r="N21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I.13.31.6</v>
      </c>
    </row>
    <row r="216" spans="1:16" x14ac:dyDescent="0.25">
      <c r="A216" t="s">
        <v>258</v>
      </c>
      <c r="I216" t="s">
        <v>718</v>
      </c>
      <c r="J216" t="s">
        <v>719</v>
      </c>
      <c r="K216">
        <v>31</v>
      </c>
      <c r="L216">
        <v>7</v>
      </c>
      <c r="M21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Q20031.7</v>
      </c>
      <c r="N21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I.13.31.7</v>
      </c>
    </row>
    <row r="218" spans="1:16" x14ac:dyDescent="0.25">
      <c r="A218" t="s">
        <v>315</v>
      </c>
      <c r="B218" t="s">
        <v>754</v>
      </c>
      <c r="C218" t="s">
        <v>459</v>
      </c>
      <c r="D218" t="s">
        <v>549</v>
      </c>
      <c r="E218" t="s">
        <v>313</v>
      </c>
      <c r="F218" t="s">
        <v>316</v>
      </c>
      <c r="G218" t="s">
        <v>115</v>
      </c>
      <c r="H218" t="s">
        <v>108</v>
      </c>
      <c r="I218" t="s">
        <v>718</v>
      </c>
      <c r="J218" t="s">
        <v>719</v>
      </c>
      <c r="K218">
        <v>32</v>
      </c>
      <c r="L218">
        <v>0</v>
      </c>
      <c r="M21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Q20032.0</v>
      </c>
      <c r="N21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I.13.32.0</v>
      </c>
      <c r="O218" t="s">
        <v>949</v>
      </c>
      <c r="P218" t="s">
        <v>756</v>
      </c>
    </row>
    <row r="219" spans="1:16" x14ac:dyDescent="0.25">
      <c r="A219" t="s">
        <v>315</v>
      </c>
      <c r="B219" t="s">
        <v>950</v>
      </c>
      <c r="C219" t="s">
        <v>45</v>
      </c>
      <c r="D219" t="s">
        <v>277</v>
      </c>
      <c r="E219" t="s">
        <v>313</v>
      </c>
      <c r="F219" t="s">
        <v>316</v>
      </c>
      <c r="G219" t="s">
        <v>115</v>
      </c>
      <c r="H219" t="s">
        <v>119</v>
      </c>
      <c r="I219" t="s">
        <v>718</v>
      </c>
      <c r="J219" t="s">
        <v>719</v>
      </c>
      <c r="K219">
        <v>32</v>
      </c>
      <c r="L219">
        <v>1</v>
      </c>
      <c r="M21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Q20032.1</v>
      </c>
      <c r="N21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I.13.32.1</v>
      </c>
      <c r="O219" t="s">
        <v>951</v>
      </c>
      <c r="P219" t="s">
        <v>952</v>
      </c>
    </row>
    <row r="220" spans="1:16" x14ac:dyDescent="0.25">
      <c r="A220" t="s">
        <v>315</v>
      </c>
      <c r="I220" t="s">
        <v>718</v>
      </c>
      <c r="J220" t="s">
        <v>719</v>
      </c>
      <c r="K220">
        <v>32</v>
      </c>
      <c r="L220">
        <v>2</v>
      </c>
      <c r="M22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Q20032.2</v>
      </c>
      <c r="N22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I.13.32.2</v>
      </c>
    </row>
    <row r="221" spans="1:16" x14ac:dyDescent="0.25">
      <c r="A221" t="s">
        <v>315</v>
      </c>
      <c r="I221" t="s">
        <v>718</v>
      </c>
      <c r="J221" t="s">
        <v>719</v>
      </c>
      <c r="K221">
        <v>32</v>
      </c>
      <c r="L221">
        <v>3</v>
      </c>
      <c r="M22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Q20032.3</v>
      </c>
      <c r="N22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I.13.32.3</v>
      </c>
    </row>
    <row r="222" spans="1:16" x14ac:dyDescent="0.25">
      <c r="A222" t="s">
        <v>315</v>
      </c>
      <c r="I222" t="s">
        <v>718</v>
      </c>
      <c r="J222" t="s">
        <v>719</v>
      </c>
      <c r="K222">
        <v>32</v>
      </c>
      <c r="L222">
        <v>4</v>
      </c>
      <c r="M22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Q20032.4</v>
      </c>
      <c r="N22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I.13.32.4</v>
      </c>
    </row>
    <row r="223" spans="1:16" x14ac:dyDescent="0.25">
      <c r="A223" t="s">
        <v>315</v>
      </c>
      <c r="I223" t="s">
        <v>718</v>
      </c>
      <c r="J223" t="s">
        <v>719</v>
      </c>
      <c r="K223">
        <v>32</v>
      </c>
      <c r="L223">
        <v>5</v>
      </c>
      <c r="M22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Q20032.5</v>
      </c>
      <c r="N22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I.13.32.5</v>
      </c>
    </row>
    <row r="224" spans="1:16" x14ac:dyDescent="0.25">
      <c r="A224" t="s">
        <v>315</v>
      </c>
      <c r="I224" t="s">
        <v>718</v>
      </c>
      <c r="J224" t="s">
        <v>719</v>
      </c>
      <c r="K224">
        <v>32</v>
      </c>
      <c r="L224">
        <v>6</v>
      </c>
      <c r="M22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Q20032.6</v>
      </c>
      <c r="N22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I.13.32.6</v>
      </c>
    </row>
    <row r="225" spans="1:16" x14ac:dyDescent="0.25">
      <c r="A225" t="s">
        <v>315</v>
      </c>
      <c r="I225" t="s">
        <v>718</v>
      </c>
      <c r="J225" t="s">
        <v>719</v>
      </c>
      <c r="K225">
        <v>32</v>
      </c>
      <c r="L225">
        <v>7</v>
      </c>
      <c r="M22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Q20032.7</v>
      </c>
      <c r="N22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I.13.32.7</v>
      </c>
    </row>
    <row r="226" spans="1:16" x14ac:dyDescent="0.25">
      <c r="A226" t="s">
        <v>315</v>
      </c>
      <c r="I226" t="s">
        <v>718</v>
      </c>
      <c r="J226" t="s">
        <v>719</v>
      </c>
      <c r="K226">
        <v>33</v>
      </c>
      <c r="L226">
        <v>0</v>
      </c>
      <c r="M22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Q20033.0</v>
      </c>
      <c r="N22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I.13.33.0</v>
      </c>
    </row>
    <row r="227" spans="1:16" x14ac:dyDescent="0.25">
      <c r="A227" t="s">
        <v>315</v>
      </c>
      <c r="I227" t="s">
        <v>718</v>
      </c>
      <c r="J227" t="s">
        <v>719</v>
      </c>
      <c r="K227">
        <v>33</v>
      </c>
      <c r="L227">
        <v>1</v>
      </c>
      <c r="M22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Q20033.1</v>
      </c>
      <c r="N22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I.13.33.1</v>
      </c>
    </row>
    <row r="228" spans="1:16" x14ac:dyDescent="0.25">
      <c r="A228" t="s">
        <v>315</v>
      </c>
      <c r="I228" t="s">
        <v>718</v>
      </c>
      <c r="J228" t="s">
        <v>719</v>
      </c>
      <c r="K228">
        <v>33</v>
      </c>
      <c r="L228">
        <v>2</v>
      </c>
      <c r="M22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Q20033.2</v>
      </c>
      <c r="N22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I.13.33.2</v>
      </c>
    </row>
    <row r="229" spans="1:16" x14ac:dyDescent="0.25">
      <c r="A229" t="s">
        <v>315</v>
      </c>
      <c r="I229" t="s">
        <v>718</v>
      </c>
      <c r="J229" t="s">
        <v>719</v>
      </c>
      <c r="K229">
        <v>33</v>
      </c>
      <c r="L229">
        <v>3</v>
      </c>
      <c r="M22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Q20033.3</v>
      </c>
      <c r="N22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I.13.33.3</v>
      </c>
    </row>
    <row r="230" spans="1:16" x14ac:dyDescent="0.25">
      <c r="A230" t="s">
        <v>315</v>
      </c>
      <c r="I230" t="s">
        <v>718</v>
      </c>
      <c r="J230" t="s">
        <v>719</v>
      </c>
      <c r="K230">
        <v>33</v>
      </c>
      <c r="L230">
        <v>4</v>
      </c>
      <c r="M23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Q20033.4</v>
      </c>
      <c r="N23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I.13.33.4</v>
      </c>
    </row>
    <row r="231" spans="1:16" x14ac:dyDescent="0.25">
      <c r="A231" t="s">
        <v>315</v>
      </c>
      <c r="I231" t="s">
        <v>718</v>
      </c>
      <c r="J231" t="s">
        <v>719</v>
      </c>
      <c r="K231">
        <v>33</v>
      </c>
      <c r="L231">
        <v>5</v>
      </c>
      <c r="M23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Q20033.5</v>
      </c>
      <c r="N23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I.13.33.5</v>
      </c>
    </row>
    <row r="232" spans="1:16" x14ac:dyDescent="0.25">
      <c r="A232" t="s">
        <v>315</v>
      </c>
      <c r="I232" t="s">
        <v>718</v>
      </c>
      <c r="J232" t="s">
        <v>719</v>
      </c>
      <c r="K232">
        <v>33</v>
      </c>
      <c r="L232">
        <v>6</v>
      </c>
      <c r="M23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Q20033.6</v>
      </c>
      <c r="N23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I.13.33.6</v>
      </c>
    </row>
    <row r="233" spans="1:16" x14ac:dyDescent="0.25">
      <c r="A233" t="s">
        <v>315</v>
      </c>
      <c r="I233" t="s">
        <v>718</v>
      </c>
      <c r="J233" t="s">
        <v>719</v>
      </c>
      <c r="K233">
        <v>33</v>
      </c>
      <c r="L233">
        <v>7</v>
      </c>
      <c r="M23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Q20033.7</v>
      </c>
      <c r="N23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I.13.33.7</v>
      </c>
    </row>
    <row r="235" spans="1:16" x14ac:dyDescent="0.25">
      <c r="A235" t="s">
        <v>319</v>
      </c>
      <c r="B235" t="s">
        <v>757</v>
      </c>
      <c r="C235" t="s">
        <v>459</v>
      </c>
      <c r="D235" t="s">
        <v>549</v>
      </c>
      <c r="E235" t="s">
        <v>313</v>
      </c>
      <c r="F235" t="s">
        <v>316</v>
      </c>
      <c r="G235" t="s">
        <v>115</v>
      </c>
      <c r="H235" t="s">
        <v>113</v>
      </c>
      <c r="I235" t="s">
        <v>718</v>
      </c>
      <c r="J235" t="s">
        <v>719</v>
      </c>
      <c r="K235">
        <v>34</v>
      </c>
      <c r="L235">
        <v>0</v>
      </c>
      <c r="M23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Q20034.0</v>
      </c>
      <c r="N23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I.13.34.0</v>
      </c>
      <c r="O235" t="s">
        <v>953</v>
      </c>
      <c r="P235" t="s">
        <v>759</v>
      </c>
    </row>
    <row r="236" spans="1:16" x14ac:dyDescent="0.25">
      <c r="A236" t="s">
        <v>319</v>
      </c>
      <c r="B236" t="s">
        <v>954</v>
      </c>
      <c r="C236" t="s">
        <v>45</v>
      </c>
      <c r="D236" t="s">
        <v>277</v>
      </c>
      <c r="E236" t="s">
        <v>313</v>
      </c>
      <c r="F236" t="s">
        <v>316</v>
      </c>
      <c r="G236" t="s">
        <v>115</v>
      </c>
      <c r="H236" t="s">
        <v>125</v>
      </c>
      <c r="I236" t="s">
        <v>718</v>
      </c>
      <c r="J236" t="s">
        <v>719</v>
      </c>
      <c r="K236">
        <v>34</v>
      </c>
      <c r="L236">
        <v>1</v>
      </c>
      <c r="M23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Q20034.1</v>
      </c>
      <c r="N23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I.13.34.1</v>
      </c>
      <c r="O236" t="s">
        <v>955</v>
      </c>
      <c r="P236" t="s">
        <v>956</v>
      </c>
    </row>
    <row r="237" spans="1:16" x14ac:dyDescent="0.25">
      <c r="A237" t="s">
        <v>319</v>
      </c>
      <c r="I237" t="s">
        <v>718</v>
      </c>
      <c r="J237" t="s">
        <v>719</v>
      </c>
      <c r="K237">
        <v>34</v>
      </c>
      <c r="L237">
        <v>2</v>
      </c>
      <c r="M23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Q20034.2</v>
      </c>
      <c r="N23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I.13.34.2</v>
      </c>
    </row>
    <row r="238" spans="1:16" x14ac:dyDescent="0.25">
      <c r="A238" t="s">
        <v>319</v>
      </c>
      <c r="I238" t="s">
        <v>718</v>
      </c>
      <c r="J238" t="s">
        <v>719</v>
      </c>
      <c r="K238">
        <v>34</v>
      </c>
      <c r="L238">
        <v>3</v>
      </c>
      <c r="M23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Q20034.3</v>
      </c>
      <c r="N23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I.13.34.3</v>
      </c>
    </row>
    <row r="239" spans="1:16" x14ac:dyDescent="0.25">
      <c r="A239" t="s">
        <v>319</v>
      </c>
      <c r="I239" t="s">
        <v>718</v>
      </c>
      <c r="J239" t="s">
        <v>719</v>
      </c>
      <c r="K239">
        <v>34</v>
      </c>
      <c r="L239">
        <v>4</v>
      </c>
      <c r="M23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Q20034.4</v>
      </c>
      <c r="N23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I.13.34.4</v>
      </c>
    </row>
    <row r="240" spans="1:16" x14ac:dyDescent="0.25">
      <c r="A240" t="s">
        <v>319</v>
      </c>
      <c r="I240" t="s">
        <v>718</v>
      </c>
      <c r="J240" t="s">
        <v>719</v>
      </c>
      <c r="K240">
        <v>34</v>
      </c>
      <c r="L240">
        <v>5</v>
      </c>
      <c r="M24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Q20034.5</v>
      </c>
      <c r="N24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I.13.34.5</v>
      </c>
    </row>
    <row r="241" spans="1:16" x14ac:dyDescent="0.25">
      <c r="A241" t="s">
        <v>319</v>
      </c>
      <c r="I241" t="s">
        <v>718</v>
      </c>
      <c r="J241" t="s">
        <v>719</v>
      </c>
      <c r="K241">
        <v>34</v>
      </c>
      <c r="L241">
        <v>6</v>
      </c>
      <c r="M24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Q20034.6</v>
      </c>
      <c r="N24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I.13.34.6</v>
      </c>
    </row>
    <row r="242" spans="1:16" x14ac:dyDescent="0.25">
      <c r="A242" t="s">
        <v>319</v>
      </c>
      <c r="I242" t="s">
        <v>718</v>
      </c>
      <c r="J242" t="s">
        <v>719</v>
      </c>
      <c r="K242">
        <v>34</v>
      </c>
      <c r="L242">
        <v>7</v>
      </c>
      <c r="M24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Q20034.7</v>
      </c>
      <c r="N24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I.13.34.7</v>
      </c>
    </row>
    <row r="243" spans="1:16" x14ac:dyDescent="0.25">
      <c r="A243" t="s">
        <v>319</v>
      </c>
      <c r="I243" t="s">
        <v>718</v>
      </c>
      <c r="J243" t="s">
        <v>719</v>
      </c>
      <c r="K243">
        <v>35</v>
      </c>
      <c r="L243">
        <v>0</v>
      </c>
      <c r="M24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Q20035.0</v>
      </c>
      <c r="N24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I.13.35.0</v>
      </c>
    </row>
    <row r="244" spans="1:16" x14ac:dyDescent="0.25">
      <c r="A244" t="s">
        <v>319</v>
      </c>
      <c r="I244" t="s">
        <v>718</v>
      </c>
      <c r="J244" t="s">
        <v>719</v>
      </c>
      <c r="K244">
        <v>35</v>
      </c>
      <c r="L244">
        <v>1</v>
      </c>
      <c r="M24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Q20035.1</v>
      </c>
      <c r="N24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I.13.35.1</v>
      </c>
    </row>
    <row r="245" spans="1:16" x14ac:dyDescent="0.25">
      <c r="A245" t="s">
        <v>319</v>
      </c>
      <c r="I245" t="s">
        <v>718</v>
      </c>
      <c r="J245" t="s">
        <v>719</v>
      </c>
      <c r="K245">
        <v>35</v>
      </c>
      <c r="L245">
        <v>2</v>
      </c>
      <c r="M24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Q20035.2</v>
      </c>
      <c r="N24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I.13.35.2</v>
      </c>
    </row>
    <row r="246" spans="1:16" x14ac:dyDescent="0.25">
      <c r="A246" t="s">
        <v>319</v>
      </c>
      <c r="I246" t="s">
        <v>718</v>
      </c>
      <c r="J246" t="s">
        <v>719</v>
      </c>
      <c r="K246">
        <v>35</v>
      </c>
      <c r="L246">
        <v>3</v>
      </c>
      <c r="M24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Q20035.3</v>
      </c>
      <c r="N24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I.13.35.3</v>
      </c>
    </row>
    <row r="247" spans="1:16" x14ac:dyDescent="0.25">
      <c r="A247" t="s">
        <v>319</v>
      </c>
      <c r="I247" t="s">
        <v>718</v>
      </c>
      <c r="J247" t="s">
        <v>719</v>
      </c>
      <c r="K247">
        <v>35</v>
      </c>
      <c r="L247">
        <v>4</v>
      </c>
      <c r="M24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Q20035.4</v>
      </c>
      <c r="N24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I.13.35.4</v>
      </c>
    </row>
    <row r="248" spans="1:16" x14ac:dyDescent="0.25">
      <c r="A248" t="s">
        <v>319</v>
      </c>
      <c r="I248" t="s">
        <v>718</v>
      </c>
      <c r="J248" t="s">
        <v>719</v>
      </c>
      <c r="K248">
        <v>35</v>
      </c>
      <c r="L248">
        <v>5</v>
      </c>
      <c r="M24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Q20035.5</v>
      </c>
      <c r="N24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I.13.35.5</v>
      </c>
    </row>
    <row r="249" spans="1:16" x14ac:dyDescent="0.25">
      <c r="A249" t="s">
        <v>319</v>
      </c>
      <c r="I249" t="s">
        <v>718</v>
      </c>
      <c r="J249" t="s">
        <v>719</v>
      </c>
      <c r="K249">
        <v>35</v>
      </c>
      <c r="L249">
        <v>6</v>
      </c>
      <c r="M24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Q20035.6</v>
      </c>
      <c r="N24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I.13.35.6</v>
      </c>
    </row>
    <row r="250" spans="1:16" x14ac:dyDescent="0.25">
      <c r="A250" t="s">
        <v>319</v>
      </c>
      <c r="I250" t="s">
        <v>718</v>
      </c>
      <c r="J250" t="s">
        <v>719</v>
      </c>
      <c r="K250">
        <v>35</v>
      </c>
      <c r="L250">
        <v>7</v>
      </c>
      <c r="M25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Q20035.7</v>
      </c>
      <c r="N25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I.13.35.7</v>
      </c>
    </row>
    <row r="252" spans="1:16" x14ac:dyDescent="0.25">
      <c r="A252" t="s">
        <v>369</v>
      </c>
      <c r="B252" t="s">
        <v>760</v>
      </c>
      <c r="C252" t="s">
        <v>459</v>
      </c>
      <c r="D252" t="s">
        <v>593</v>
      </c>
      <c r="E252" t="s">
        <v>367</v>
      </c>
      <c r="F252" t="s">
        <v>370</v>
      </c>
      <c r="G252" t="s">
        <v>57</v>
      </c>
      <c r="H252" t="s">
        <v>113</v>
      </c>
      <c r="I252" t="s">
        <v>718</v>
      </c>
      <c r="J252" t="s">
        <v>719</v>
      </c>
      <c r="K252">
        <v>36</v>
      </c>
      <c r="L252">
        <v>0</v>
      </c>
      <c r="M25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Q20036.0</v>
      </c>
      <c r="N25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I.13.36.0</v>
      </c>
      <c r="O252" t="s">
        <v>957</v>
      </c>
      <c r="P252" t="s">
        <v>762</v>
      </c>
    </row>
    <row r="253" spans="1:16" x14ac:dyDescent="0.25">
      <c r="A253" t="s">
        <v>369</v>
      </c>
      <c r="B253" t="s">
        <v>763</v>
      </c>
      <c r="C253" t="s">
        <v>459</v>
      </c>
      <c r="D253" t="s">
        <v>596</v>
      </c>
      <c r="E253" t="s">
        <v>367</v>
      </c>
      <c r="F253" t="s">
        <v>370</v>
      </c>
      <c r="G253" t="s">
        <v>57</v>
      </c>
      <c r="H253" t="s">
        <v>125</v>
      </c>
      <c r="I253" t="s">
        <v>718</v>
      </c>
      <c r="J253" t="s">
        <v>719</v>
      </c>
      <c r="K253">
        <v>36</v>
      </c>
      <c r="L253">
        <v>1</v>
      </c>
      <c r="M25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Q20036.1</v>
      </c>
      <c r="N25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I.13.36.1</v>
      </c>
      <c r="O253" t="s">
        <v>957</v>
      </c>
      <c r="P253" t="s">
        <v>764</v>
      </c>
    </row>
    <row r="254" spans="1:16" x14ac:dyDescent="0.25">
      <c r="A254" t="s">
        <v>369</v>
      </c>
      <c r="B254" t="s">
        <v>765</v>
      </c>
      <c r="C254" t="s">
        <v>45</v>
      </c>
      <c r="D254" t="s">
        <v>366</v>
      </c>
      <c r="E254" t="s">
        <v>367</v>
      </c>
      <c r="F254" t="s">
        <v>370</v>
      </c>
      <c r="G254" t="s">
        <v>57</v>
      </c>
      <c r="H254" t="s">
        <v>137</v>
      </c>
      <c r="I254" t="s">
        <v>718</v>
      </c>
      <c r="J254" t="s">
        <v>719</v>
      </c>
      <c r="K254">
        <v>36</v>
      </c>
      <c r="L254">
        <v>2</v>
      </c>
      <c r="M25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Q20036.2</v>
      </c>
      <c r="N25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I.13.36.2</v>
      </c>
      <c r="O254" t="s">
        <v>957</v>
      </c>
      <c r="P254" t="s">
        <v>766</v>
      </c>
    </row>
    <row r="255" spans="1:16" x14ac:dyDescent="0.25">
      <c r="A255" t="s">
        <v>369</v>
      </c>
      <c r="B255" t="s">
        <v>767</v>
      </c>
      <c r="C255" t="s">
        <v>45</v>
      </c>
      <c r="D255" t="s">
        <v>374</v>
      </c>
      <c r="E255" t="s">
        <v>367</v>
      </c>
      <c r="F255" t="s">
        <v>370</v>
      </c>
      <c r="G255" t="s">
        <v>57</v>
      </c>
      <c r="H255" t="s">
        <v>375</v>
      </c>
      <c r="I255" t="s">
        <v>718</v>
      </c>
      <c r="J255" t="s">
        <v>719</v>
      </c>
      <c r="K255">
        <v>36</v>
      </c>
      <c r="L255">
        <v>3</v>
      </c>
      <c r="M25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Q20036.3</v>
      </c>
      <c r="N25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I.13.36.3</v>
      </c>
      <c r="O255" t="s">
        <v>957</v>
      </c>
      <c r="P255" t="s">
        <v>768</v>
      </c>
    </row>
    <row r="256" spans="1:16" x14ac:dyDescent="0.25">
      <c r="A256" t="s">
        <v>369</v>
      </c>
      <c r="I256" t="s">
        <v>718</v>
      </c>
      <c r="J256" t="s">
        <v>719</v>
      </c>
      <c r="K256">
        <v>36</v>
      </c>
      <c r="L256">
        <v>4</v>
      </c>
      <c r="M25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Q20036.4</v>
      </c>
      <c r="N25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I.13.36.4</v>
      </c>
    </row>
    <row r="257" spans="1:16" x14ac:dyDescent="0.25">
      <c r="A257" t="s">
        <v>369</v>
      </c>
      <c r="I257" t="s">
        <v>718</v>
      </c>
      <c r="J257" t="s">
        <v>719</v>
      </c>
      <c r="K257">
        <v>36</v>
      </c>
      <c r="L257">
        <v>5</v>
      </c>
      <c r="M25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Q20036.5</v>
      </c>
      <c r="N25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I.13.36.5</v>
      </c>
    </row>
    <row r="258" spans="1:16" x14ac:dyDescent="0.25">
      <c r="A258" t="s">
        <v>369</v>
      </c>
      <c r="I258" t="s">
        <v>718</v>
      </c>
      <c r="J258" t="s">
        <v>719</v>
      </c>
      <c r="K258">
        <v>36</v>
      </c>
      <c r="L258">
        <v>6</v>
      </c>
      <c r="M25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Q20036.6</v>
      </c>
      <c r="N25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I.13.36.6</v>
      </c>
    </row>
    <row r="259" spans="1:16" x14ac:dyDescent="0.25">
      <c r="A259" t="s">
        <v>369</v>
      </c>
      <c r="I259" t="s">
        <v>718</v>
      </c>
      <c r="J259" t="s">
        <v>719</v>
      </c>
      <c r="K259">
        <v>36</v>
      </c>
      <c r="L259">
        <v>7</v>
      </c>
      <c r="M25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Q20036.7</v>
      </c>
      <c r="N25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I.13.36.7</v>
      </c>
    </row>
    <row r="260" spans="1:16" x14ac:dyDescent="0.25">
      <c r="A260" t="s">
        <v>369</v>
      </c>
      <c r="I260" t="s">
        <v>718</v>
      </c>
      <c r="J260" t="s">
        <v>719</v>
      </c>
      <c r="K260">
        <v>37</v>
      </c>
      <c r="L260">
        <v>0</v>
      </c>
      <c r="M26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Q20037.0</v>
      </c>
      <c r="N26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I.13.37.0</v>
      </c>
    </row>
    <row r="261" spans="1:16" x14ac:dyDescent="0.25">
      <c r="A261" t="s">
        <v>369</v>
      </c>
      <c r="I261" t="s">
        <v>718</v>
      </c>
      <c r="J261" t="s">
        <v>719</v>
      </c>
      <c r="K261">
        <v>37</v>
      </c>
      <c r="L261">
        <v>1</v>
      </c>
      <c r="M26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Q20037.1</v>
      </c>
      <c r="N26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I.13.37.1</v>
      </c>
    </row>
    <row r="262" spans="1:16" x14ac:dyDescent="0.25">
      <c r="A262" t="s">
        <v>369</v>
      </c>
      <c r="I262" t="s">
        <v>718</v>
      </c>
      <c r="J262" t="s">
        <v>719</v>
      </c>
      <c r="K262">
        <v>37</v>
      </c>
      <c r="L262">
        <v>2</v>
      </c>
      <c r="M26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Q20037.2</v>
      </c>
      <c r="N26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I.13.37.2</v>
      </c>
    </row>
    <row r="263" spans="1:16" x14ac:dyDescent="0.25">
      <c r="A263" t="s">
        <v>369</v>
      </c>
      <c r="I263" t="s">
        <v>718</v>
      </c>
      <c r="J263" t="s">
        <v>719</v>
      </c>
      <c r="K263">
        <v>37</v>
      </c>
      <c r="L263">
        <v>3</v>
      </c>
      <c r="M26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Q20037.3</v>
      </c>
      <c r="N26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I.13.37.3</v>
      </c>
    </row>
    <row r="264" spans="1:16" x14ac:dyDescent="0.25">
      <c r="A264" t="s">
        <v>369</v>
      </c>
      <c r="I264" t="s">
        <v>718</v>
      </c>
      <c r="J264" t="s">
        <v>719</v>
      </c>
      <c r="K264">
        <v>37</v>
      </c>
      <c r="L264">
        <v>4</v>
      </c>
      <c r="M26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Q20037.4</v>
      </c>
      <c r="N26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I.13.37.4</v>
      </c>
    </row>
    <row r="265" spans="1:16" x14ac:dyDescent="0.25">
      <c r="A265" t="s">
        <v>369</v>
      </c>
      <c r="I265" t="s">
        <v>718</v>
      </c>
      <c r="J265" t="s">
        <v>719</v>
      </c>
      <c r="K265">
        <v>37</v>
      </c>
      <c r="L265">
        <v>5</v>
      </c>
      <c r="M26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Q20037.5</v>
      </c>
      <c r="N26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I.13.37.5</v>
      </c>
    </row>
    <row r="266" spans="1:16" x14ac:dyDescent="0.25">
      <c r="A266" t="s">
        <v>369</v>
      </c>
      <c r="I266" t="s">
        <v>718</v>
      </c>
      <c r="J266" t="s">
        <v>719</v>
      </c>
      <c r="K266">
        <v>37</v>
      </c>
      <c r="L266">
        <v>6</v>
      </c>
      <c r="M26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Q20037.6</v>
      </c>
      <c r="N26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I.13.37.6</v>
      </c>
    </row>
    <row r="267" spans="1:16" x14ac:dyDescent="0.25">
      <c r="A267" t="s">
        <v>369</v>
      </c>
      <c r="I267" t="s">
        <v>718</v>
      </c>
      <c r="J267" t="s">
        <v>719</v>
      </c>
      <c r="K267">
        <v>37</v>
      </c>
      <c r="L267">
        <v>7</v>
      </c>
      <c r="M26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Q20037.7</v>
      </c>
      <c r="N26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I.13.37.7</v>
      </c>
    </row>
    <row r="269" spans="1:16" x14ac:dyDescent="0.25">
      <c r="A269" t="s">
        <v>372</v>
      </c>
      <c r="B269" t="s">
        <v>958</v>
      </c>
      <c r="C269" t="s">
        <v>459</v>
      </c>
      <c r="D269" t="s">
        <v>593</v>
      </c>
      <c r="E269" t="s">
        <v>367</v>
      </c>
      <c r="F269" t="s">
        <v>370</v>
      </c>
      <c r="G269" t="s">
        <v>57</v>
      </c>
      <c r="H269" t="s">
        <v>119</v>
      </c>
      <c r="I269" t="s">
        <v>718</v>
      </c>
      <c r="J269" t="s">
        <v>719</v>
      </c>
      <c r="K269">
        <v>38</v>
      </c>
      <c r="L269">
        <v>0</v>
      </c>
      <c r="M26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Q20038.0</v>
      </c>
      <c r="N26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I.13.38.0</v>
      </c>
      <c r="O269" t="s">
        <v>957</v>
      </c>
      <c r="P269" t="s">
        <v>959</v>
      </c>
    </row>
    <row r="270" spans="1:16" x14ac:dyDescent="0.25">
      <c r="A270" t="s">
        <v>372</v>
      </c>
      <c r="B270" t="s">
        <v>960</v>
      </c>
      <c r="C270" t="s">
        <v>459</v>
      </c>
      <c r="D270" t="s">
        <v>596</v>
      </c>
      <c r="E270" t="s">
        <v>367</v>
      </c>
      <c r="F270" t="s">
        <v>370</v>
      </c>
      <c r="G270" t="s">
        <v>57</v>
      </c>
      <c r="H270" t="s">
        <v>131</v>
      </c>
      <c r="I270" t="s">
        <v>718</v>
      </c>
      <c r="J270" t="s">
        <v>719</v>
      </c>
      <c r="K270">
        <v>38</v>
      </c>
      <c r="L270">
        <v>1</v>
      </c>
      <c r="M27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Q20038.1</v>
      </c>
      <c r="N27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I.13.38.1</v>
      </c>
      <c r="O270" t="s">
        <v>957</v>
      </c>
      <c r="P270" t="s">
        <v>961</v>
      </c>
    </row>
    <row r="271" spans="1:16" x14ac:dyDescent="0.25">
      <c r="A271" t="s">
        <v>372</v>
      </c>
      <c r="B271" t="s">
        <v>962</v>
      </c>
      <c r="C271" t="s">
        <v>45</v>
      </c>
      <c r="D271" t="s">
        <v>366</v>
      </c>
      <c r="E271" t="s">
        <v>367</v>
      </c>
      <c r="F271" t="s">
        <v>370</v>
      </c>
      <c r="G271" t="s">
        <v>57</v>
      </c>
      <c r="H271" t="s">
        <v>142</v>
      </c>
      <c r="I271" t="s">
        <v>718</v>
      </c>
      <c r="J271" t="s">
        <v>719</v>
      </c>
      <c r="K271">
        <v>38</v>
      </c>
      <c r="L271">
        <v>2</v>
      </c>
      <c r="M27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Q20038.2</v>
      </c>
      <c r="N27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I.13.38.2</v>
      </c>
      <c r="O271" t="s">
        <v>957</v>
      </c>
      <c r="P271" t="s">
        <v>963</v>
      </c>
    </row>
    <row r="272" spans="1:16" x14ac:dyDescent="0.25">
      <c r="A272" t="s">
        <v>372</v>
      </c>
      <c r="B272" t="s">
        <v>964</v>
      </c>
      <c r="C272" t="s">
        <v>45</v>
      </c>
      <c r="D272" t="s">
        <v>374</v>
      </c>
      <c r="E272" t="s">
        <v>367</v>
      </c>
      <c r="F272" t="s">
        <v>370</v>
      </c>
      <c r="G272" t="s">
        <v>57</v>
      </c>
      <c r="H272" t="s">
        <v>377</v>
      </c>
      <c r="I272" t="s">
        <v>718</v>
      </c>
      <c r="J272" t="s">
        <v>719</v>
      </c>
      <c r="K272">
        <v>38</v>
      </c>
      <c r="L272">
        <v>3</v>
      </c>
      <c r="M27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Q20038.3</v>
      </c>
      <c r="N27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I.13.38.3</v>
      </c>
      <c r="O272" t="s">
        <v>957</v>
      </c>
      <c r="P272" t="s">
        <v>965</v>
      </c>
    </row>
    <row r="273" spans="1:16" x14ac:dyDescent="0.25">
      <c r="A273" t="s">
        <v>372</v>
      </c>
      <c r="I273" t="s">
        <v>718</v>
      </c>
      <c r="J273" t="s">
        <v>719</v>
      </c>
      <c r="K273">
        <v>38</v>
      </c>
      <c r="L273">
        <v>4</v>
      </c>
      <c r="M27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Q20038.4</v>
      </c>
      <c r="N27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I.13.38.4</v>
      </c>
    </row>
    <row r="274" spans="1:16" x14ac:dyDescent="0.25">
      <c r="A274" t="s">
        <v>372</v>
      </c>
      <c r="I274" t="s">
        <v>718</v>
      </c>
      <c r="J274" t="s">
        <v>719</v>
      </c>
      <c r="K274">
        <v>38</v>
      </c>
      <c r="L274">
        <v>5</v>
      </c>
      <c r="M27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Q20038.5</v>
      </c>
      <c r="N27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I.13.38.5</v>
      </c>
    </row>
    <row r="275" spans="1:16" x14ac:dyDescent="0.25">
      <c r="A275" t="s">
        <v>372</v>
      </c>
      <c r="I275" t="s">
        <v>718</v>
      </c>
      <c r="J275" t="s">
        <v>719</v>
      </c>
      <c r="K275">
        <v>38</v>
      </c>
      <c r="L275">
        <v>6</v>
      </c>
      <c r="M27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Q20038.6</v>
      </c>
      <c r="N27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I.13.38.6</v>
      </c>
    </row>
    <row r="276" spans="1:16" x14ac:dyDescent="0.25">
      <c r="A276" t="s">
        <v>372</v>
      </c>
      <c r="I276" t="s">
        <v>718</v>
      </c>
      <c r="J276" t="s">
        <v>719</v>
      </c>
      <c r="K276">
        <v>38</v>
      </c>
      <c r="L276">
        <v>7</v>
      </c>
      <c r="M27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Q20038.7</v>
      </c>
      <c r="N27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I.13.38.7</v>
      </c>
    </row>
    <row r="277" spans="1:16" x14ac:dyDescent="0.25">
      <c r="A277" t="s">
        <v>372</v>
      </c>
      <c r="I277" t="s">
        <v>718</v>
      </c>
      <c r="J277" t="s">
        <v>719</v>
      </c>
      <c r="K277">
        <v>39</v>
      </c>
      <c r="L277">
        <v>0</v>
      </c>
      <c r="M27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Q20039.0</v>
      </c>
      <c r="N27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I.13.39.0</v>
      </c>
    </row>
    <row r="278" spans="1:16" x14ac:dyDescent="0.25">
      <c r="A278" t="s">
        <v>372</v>
      </c>
      <c r="I278" t="s">
        <v>718</v>
      </c>
      <c r="J278" t="s">
        <v>719</v>
      </c>
      <c r="K278">
        <v>39</v>
      </c>
      <c r="L278">
        <v>1</v>
      </c>
      <c r="M27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Q20039.1</v>
      </c>
      <c r="N27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I.13.39.1</v>
      </c>
    </row>
    <row r="279" spans="1:16" x14ac:dyDescent="0.25">
      <c r="A279" t="s">
        <v>372</v>
      </c>
      <c r="I279" t="s">
        <v>718</v>
      </c>
      <c r="J279" t="s">
        <v>719</v>
      </c>
      <c r="K279">
        <v>39</v>
      </c>
      <c r="L279">
        <v>2</v>
      </c>
      <c r="M27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Q20039.2</v>
      </c>
      <c r="N27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I.13.39.2</v>
      </c>
    </row>
    <row r="280" spans="1:16" x14ac:dyDescent="0.25">
      <c r="A280" t="s">
        <v>372</v>
      </c>
      <c r="I280" t="s">
        <v>718</v>
      </c>
      <c r="J280" t="s">
        <v>719</v>
      </c>
      <c r="K280">
        <v>39</v>
      </c>
      <c r="L280">
        <v>3</v>
      </c>
      <c r="M28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Q20039.3</v>
      </c>
      <c r="N28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I.13.39.3</v>
      </c>
    </row>
    <row r="281" spans="1:16" x14ac:dyDescent="0.25">
      <c r="A281" t="s">
        <v>372</v>
      </c>
      <c r="I281" t="s">
        <v>718</v>
      </c>
      <c r="J281" t="s">
        <v>719</v>
      </c>
      <c r="K281">
        <v>39</v>
      </c>
      <c r="L281">
        <v>4</v>
      </c>
      <c r="M28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Q20039.4</v>
      </c>
      <c r="N28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I.13.39.4</v>
      </c>
    </row>
    <row r="282" spans="1:16" x14ac:dyDescent="0.25">
      <c r="A282" t="s">
        <v>372</v>
      </c>
      <c r="I282" t="s">
        <v>718</v>
      </c>
      <c r="J282" t="s">
        <v>719</v>
      </c>
      <c r="K282">
        <v>39</v>
      </c>
      <c r="L282">
        <v>5</v>
      </c>
      <c r="M28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Q20039.5</v>
      </c>
      <c r="N28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I.13.39.5</v>
      </c>
    </row>
    <row r="283" spans="1:16" x14ac:dyDescent="0.25">
      <c r="A283" t="s">
        <v>372</v>
      </c>
      <c r="I283" t="s">
        <v>718</v>
      </c>
      <c r="J283" t="s">
        <v>719</v>
      </c>
      <c r="K283">
        <v>39</v>
      </c>
      <c r="L283">
        <v>6</v>
      </c>
      <c r="M28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Q20039.6</v>
      </c>
      <c r="N28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I.13.39.6</v>
      </c>
    </row>
    <row r="284" spans="1:16" x14ac:dyDescent="0.25">
      <c r="A284" t="s">
        <v>372</v>
      </c>
      <c r="I284" t="s">
        <v>718</v>
      </c>
      <c r="J284" t="s">
        <v>719</v>
      </c>
      <c r="K284">
        <v>39</v>
      </c>
      <c r="L284">
        <v>7</v>
      </c>
      <c r="M28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Q20039.7</v>
      </c>
      <c r="N28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I.13.39.7</v>
      </c>
    </row>
    <row r="286" spans="1:16" x14ac:dyDescent="0.25">
      <c r="A286" t="s">
        <v>393</v>
      </c>
      <c r="B286" t="s">
        <v>966</v>
      </c>
      <c r="C286" t="s">
        <v>459</v>
      </c>
      <c r="D286" t="s">
        <v>549</v>
      </c>
      <c r="E286" t="s">
        <v>301</v>
      </c>
      <c r="F286" t="s">
        <v>550</v>
      </c>
      <c r="G286" t="s">
        <v>91</v>
      </c>
      <c r="H286" t="s">
        <v>108</v>
      </c>
      <c r="I286" t="s">
        <v>718</v>
      </c>
      <c r="J286" t="s">
        <v>719</v>
      </c>
      <c r="K286">
        <v>40</v>
      </c>
      <c r="L286">
        <v>0</v>
      </c>
      <c r="M28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Q20040.0</v>
      </c>
      <c r="N28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I.13.40.0</v>
      </c>
      <c r="O286" t="s">
        <v>967</v>
      </c>
      <c r="P286" t="s">
        <v>968</v>
      </c>
    </row>
    <row r="287" spans="1:16" x14ac:dyDescent="0.25">
      <c r="A287" t="s">
        <v>393</v>
      </c>
      <c r="I287" t="s">
        <v>718</v>
      </c>
      <c r="J287" t="s">
        <v>719</v>
      </c>
      <c r="K287">
        <v>40</v>
      </c>
      <c r="L287">
        <v>1</v>
      </c>
      <c r="M28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Q20040.1</v>
      </c>
      <c r="N28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I.13.40.1</v>
      </c>
    </row>
    <row r="288" spans="1:16" x14ac:dyDescent="0.25">
      <c r="A288" t="s">
        <v>393</v>
      </c>
      <c r="I288" t="s">
        <v>718</v>
      </c>
      <c r="J288" t="s">
        <v>719</v>
      </c>
      <c r="K288">
        <v>40</v>
      </c>
      <c r="L288">
        <v>2</v>
      </c>
      <c r="M28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Q20040.2</v>
      </c>
      <c r="N28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I.13.40.2</v>
      </c>
    </row>
    <row r="289" spans="1:16" x14ac:dyDescent="0.25">
      <c r="A289" t="s">
        <v>393</v>
      </c>
      <c r="I289" t="s">
        <v>718</v>
      </c>
      <c r="J289" t="s">
        <v>719</v>
      </c>
      <c r="K289">
        <v>40</v>
      </c>
      <c r="L289">
        <v>3</v>
      </c>
      <c r="M28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Q20040.3</v>
      </c>
      <c r="N28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I.13.40.3</v>
      </c>
    </row>
    <row r="290" spans="1:16" x14ac:dyDescent="0.25">
      <c r="A290" t="s">
        <v>393</v>
      </c>
      <c r="I290" t="s">
        <v>718</v>
      </c>
      <c r="J290" t="s">
        <v>719</v>
      </c>
      <c r="K290">
        <v>40</v>
      </c>
      <c r="L290">
        <v>4</v>
      </c>
      <c r="M29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Q20040.4</v>
      </c>
      <c r="N29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I.13.40.4</v>
      </c>
    </row>
    <row r="291" spans="1:16" x14ac:dyDescent="0.25">
      <c r="A291" t="s">
        <v>393</v>
      </c>
      <c r="I291" t="s">
        <v>718</v>
      </c>
      <c r="J291" t="s">
        <v>719</v>
      </c>
      <c r="K291">
        <v>40</v>
      </c>
      <c r="L291">
        <v>5</v>
      </c>
      <c r="M29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Q20040.5</v>
      </c>
      <c r="N29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I.13.40.5</v>
      </c>
    </row>
    <row r="292" spans="1:16" x14ac:dyDescent="0.25">
      <c r="A292" t="s">
        <v>393</v>
      </c>
      <c r="I292" t="s">
        <v>718</v>
      </c>
      <c r="J292" t="s">
        <v>719</v>
      </c>
      <c r="K292">
        <v>40</v>
      </c>
      <c r="L292">
        <v>6</v>
      </c>
      <c r="M29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Q20040.6</v>
      </c>
      <c r="N29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I.13.40.6</v>
      </c>
    </row>
    <row r="293" spans="1:16" x14ac:dyDescent="0.25">
      <c r="A293" t="s">
        <v>393</v>
      </c>
      <c r="I293" t="s">
        <v>718</v>
      </c>
      <c r="J293" t="s">
        <v>719</v>
      </c>
      <c r="K293">
        <v>40</v>
      </c>
      <c r="L293">
        <v>7</v>
      </c>
      <c r="M29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Q20040.7</v>
      </c>
      <c r="N29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I.13.40.7</v>
      </c>
    </row>
    <row r="294" spans="1:16" x14ac:dyDescent="0.25">
      <c r="A294" t="s">
        <v>393</v>
      </c>
      <c r="I294" t="s">
        <v>718</v>
      </c>
      <c r="J294" t="s">
        <v>719</v>
      </c>
      <c r="K294">
        <v>41</v>
      </c>
      <c r="L294">
        <v>0</v>
      </c>
      <c r="M29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Q20041.0</v>
      </c>
      <c r="N29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I.13.41.0</v>
      </c>
    </row>
    <row r="295" spans="1:16" x14ac:dyDescent="0.25">
      <c r="A295" t="s">
        <v>393</v>
      </c>
      <c r="I295" t="s">
        <v>718</v>
      </c>
      <c r="J295" t="s">
        <v>719</v>
      </c>
      <c r="K295">
        <v>41</v>
      </c>
      <c r="L295">
        <v>1</v>
      </c>
      <c r="M29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Q20041.1</v>
      </c>
      <c r="N29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I.13.41.1</v>
      </c>
    </row>
    <row r="296" spans="1:16" x14ac:dyDescent="0.25">
      <c r="A296" t="s">
        <v>393</v>
      </c>
      <c r="I296" t="s">
        <v>718</v>
      </c>
      <c r="J296" t="s">
        <v>719</v>
      </c>
      <c r="K296">
        <v>41</v>
      </c>
      <c r="L296">
        <v>2</v>
      </c>
      <c r="M29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Q20041.2</v>
      </c>
      <c r="N29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I.13.41.2</v>
      </c>
    </row>
    <row r="297" spans="1:16" x14ac:dyDescent="0.25">
      <c r="A297" t="s">
        <v>393</v>
      </c>
      <c r="I297" t="s">
        <v>718</v>
      </c>
      <c r="J297" t="s">
        <v>719</v>
      </c>
      <c r="K297">
        <v>41</v>
      </c>
      <c r="L297">
        <v>3</v>
      </c>
      <c r="M29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Q20041.3</v>
      </c>
      <c r="N29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I.13.41.3</v>
      </c>
    </row>
    <row r="298" spans="1:16" x14ac:dyDescent="0.25">
      <c r="A298" t="s">
        <v>393</v>
      </c>
      <c r="I298" t="s">
        <v>718</v>
      </c>
      <c r="J298" t="s">
        <v>719</v>
      </c>
      <c r="K298">
        <v>41</v>
      </c>
      <c r="L298">
        <v>4</v>
      </c>
      <c r="M29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Q20041.4</v>
      </c>
      <c r="N29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I.13.41.4</v>
      </c>
    </row>
    <row r="299" spans="1:16" x14ac:dyDescent="0.25">
      <c r="A299" t="s">
        <v>393</v>
      </c>
      <c r="I299" t="s">
        <v>718</v>
      </c>
      <c r="J299" t="s">
        <v>719</v>
      </c>
      <c r="K299">
        <v>41</v>
      </c>
      <c r="L299">
        <v>5</v>
      </c>
      <c r="M29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Q20041.5</v>
      </c>
      <c r="N29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I.13.41.5</v>
      </c>
    </row>
    <row r="300" spans="1:16" x14ac:dyDescent="0.25">
      <c r="A300" t="s">
        <v>393</v>
      </c>
      <c r="I300" t="s">
        <v>718</v>
      </c>
      <c r="J300" t="s">
        <v>719</v>
      </c>
      <c r="K300">
        <v>41</v>
      </c>
      <c r="L300">
        <v>6</v>
      </c>
      <c r="M30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Q20041.6</v>
      </c>
      <c r="N30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I.13.41.6</v>
      </c>
    </row>
    <row r="301" spans="1:16" x14ac:dyDescent="0.25">
      <c r="A301" t="s">
        <v>393</v>
      </c>
      <c r="I301" t="s">
        <v>718</v>
      </c>
      <c r="J301" t="s">
        <v>719</v>
      </c>
      <c r="K301">
        <v>41</v>
      </c>
      <c r="L301">
        <v>7</v>
      </c>
      <c r="M30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Q20041.7</v>
      </c>
      <c r="N30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I.13.41.7</v>
      </c>
    </row>
    <row r="303" spans="1:16" x14ac:dyDescent="0.25">
      <c r="A303" t="s">
        <v>206</v>
      </c>
      <c r="B303" t="s">
        <v>969</v>
      </c>
      <c r="C303" t="s">
        <v>45</v>
      </c>
      <c r="D303" t="s">
        <v>71</v>
      </c>
      <c r="E303" t="s">
        <v>204</v>
      </c>
      <c r="F303" t="s">
        <v>208</v>
      </c>
      <c r="G303" t="s">
        <v>139</v>
      </c>
      <c r="H303" t="s">
        <v>131</v>
      </c>
      <c r="I303" t="s">
        <v>718</v>
      </c>
      <c r="J303" t="s">
        <v>719</v>
      </c>
      <c r="K303">
        <v>42</v>
      </c>
      <c r="L303">
        <v>0</v>
      </c>
      <c r="M30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Q20042.0</v>
      </c>
      <c r="N30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I.13.42.0</v>
      </c>
      <c r="O303" t="s">
        <v>970</v>
      </c>
      <c r="P303" t="s">
        <v>971</v>
      </c>
    </row>
    <row r="304" spans="1:16" x14ac:dyDescent="0.25">
      <c r="A304" t="s">
        <v>206</v>
      </c>
      <c r="I304" t="s">
        <v>718</v>
      </c>
      <c r="J304" t="s">
        <v>719</v>
      </c>
      <c r="K304">
        <v>42</v>
      </c>
      <c r="L304">
        <v>1</v>
      </c>
      <c r="M30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Q20042.1</v>
      </c>
      <c r="N30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I.13.42.1</v>
      </c>
    </row>
    <row r="305" spans="1:16" x14ac:dyDescent="0.25">
      <c r="A305" t="s">
        <v>206</v>
      </c>
      <c r="I305" t="s">
        <v>718</v>
      </c>
      <c r="J305" t="s">
        <v>719</v>
      </c>
      <c r="K305">
        <v>42</v>
      </c>
      <c r="L305">
        <v>2</v>
      </c>
      <c r="M30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Q20042.2</v>
      </c>
      <c r="N30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I.13.42.2</v>
      </c>
    </row>
    <row r="306" spans="1:16" x14ac:dyDescent="0.25">
      <c r="A306" t="s">
        <v>206</v>
      </c>
      <c r="I306" t="s">
        <v>718</v>
      </c>
      <c r="J306" t="s">
        <v>719</v>
      </c>
      <c r="K306">
        <v>42</v>
      </c>
      <c r="L306">
        <v>3</v>
      </c>
      <c r="M30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Q20042.3</v>
      </c>
      <c r="N30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I.13.42.3</v>
      </c>
    </row>
    <row r="307" spans="1:16" x14ac:dyDescent="0.25">
      <c r="A307" t="s">
        <v>206</v>
      </c>
      <c r="I307" t="s">
        <v>718</v>
      </c>
      <c r="J307" t="s">
        <v>719</v>
      </c>
      <c r="K307">
        <v>42</v>
      </c>
      <c r="L307">
        <v>4</v>
      </c>
      <c r="M30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Q20042.4</v>
      </c>
      <c r="N30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I.13.42.4</v>
      </c>
    </row>
    <row r="308" spans="1:16" x14ac:dyDescent="0.25">
      <c r="A308" t="s">
        <v>206</v>
      </c>
      <c r="I308" t="s">
        <v>718</v>
      </c>
      <c r="J308" t="s">
        <v>719</v>
      </c>
      <c r="K308">
        <v>42</v>
      </c>
      <c r="L308">
        <v>5</v>
      </c>
      <c r="M30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Q20042.5</v>
      </c>
      <c r="N30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I.13.42.5</v>
      </c>
    </row>
    <row r="309" spans="1:16" x14ac:dyDescent="0.25">
      <c r="A309" t="s">
        <v>206</v>
      </c>
      <c r="I309" t="s">
        <v>718</v>
      </c>
      <c r="J309" t="s">
        <v>719</v>
      </c>
      <c r="K309">
        <v>42</v>
      </c>
      <c r="L309">
        <v>6</v>
      </c>
      <c r="M30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Q20042.6</v>
      </c>
      <c r="N30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I.13.42.6</v>
      </c>
    </row>
    <row r="310" spans="1:16" x14ac:dyDescent="0.25">
      <c r="A310" t="s">
        <v>206</v>
      </c>
      <c r="I310" t="s">
        <v>718</v>
      </c>
      <c r="J310" t="s">
        <v>719</v>
      </c>
      <c r="K310">
        <v>42</v>
      </c>
      <c r="L310">
        <v>7</v>
      </c>
      <c r="M31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Q20042.7</v>
      </c>
      <c r="N31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I.13.42.7</v>
      </c>
    </row>
    <row r="311" spans="1:16" x14ac:dyDescent="0.25">
      <c r="A311" t="s">
        <v>206</v>
      </c>
      <c r="I311" t="s">
        <v>718</v>
      </c>
      <c r="J311" t="s">
        <v>719</v>
      </c>
      <c r="K311">
        <v>43</v>
      </c>
      <c r="L311">
        <v>0</v>
      </c>
      <c r="M31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Q20043.0</v>
      </c>
      <c r="N31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I.13.43.0</v>
      </c>
    </row>
    <row r="312" spans="1:16" x14ac:dyDescent="0.25">
      <c r="A312" t="s">
        <v>206</v>
      </c>
      <c r="I312" t="s">
        <v>718</v>
      </c>
      <c r="J312" t="s">
        <v>719</v>
      </c>
      <c r="K312">
        <v>43</v>
      </c>
      <c r="L312">
        <v>1</v>
      </c>
      <c r="M31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Q20043.1</v>
      </c>
      <c r="N31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I.13.43.1</v>
      </c>
    </row>
    <row r="313" spans="1:16" x14ac:dyDescent="0.25">
      <c r="A313" t="s">
        <v>206</v>
      </c>
      <c r="I313" t="s">
        <v>718</v>
      </c>
      <c r="J313" t="s">
        <v>719</v>
      </c>
      <c r="K313">
        <v>43</v>
      </c>
      <c r="L313">
        <v>2</v>
      </c>
      <c r="M31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Q20043.2</v>
      </c>
      <c r="N31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I.13.43.2</v>
      </c>
    </row>
    <row r="314" spans="1:16" x14ac:dyDescent="0.25">
      <c r="A314" t="s">
        <v>206</v>
      </c>
      <c r="I314" t="s">
        <v>718</v>
      </c>
      <c r="J314" t="s">
        <v>719</v>
      </c>
      <c r="K314">
        <v>43</v>
      </c>
      <c r="L314">
        <v>3</v>
      </c>
      <c r="M31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Q20043.3</v>
      </c>
      <c r="N31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I.13.43.3</v>
      </c>
    </row>
    <row r="315" spans="1:16" x14ac:dyDescent="0.25">
      <c r="A315" t="s">
        <v>206</v>
      </c>
      <c r="I315" t="s">
        <v>718</v>
      </c>
      <c r="J315" t="s">
        <v>719</v>
      </c>
      <c r="K315">
        <v>43</v>
      </c>
      <c r="L315">
        <v>4</v>
      </c>
      <c r="M31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Q20043.4</v>
      </c>
      <c r="N31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I.13.43.4</v>
      </c>
    </row>
    <row r="316" spans="1:16" x14ac:dyDescent="0.25">
      <c r="A316" t="s">
        <v>206</v>
      </c>
      <c r="I316" t="s">
        <v>718</v>
      </c>
      <c r="J316" t="s">
        <v>719</v>
      </c>
      <c r="K316">
        <v>43</v>
      </c>
      <c r="L316">
        <v>5</v>
      </c>
      <c r="M31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Q20043.5</v>
      </c>
      <c r="N31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I.13.43.5</v>
      </c>
    </row>
    <row r="317" spans="1:16" x14ac:dyDescent="0.25">
      <c r="A317" t="s">
        <v>206</v>
      </c>
      <c r="I317" t="s">
        <v>718</v>
      </c>
      <c r="J317" t="s">
        <v>719</v>
      </c>
      <c r="K317">
        <v>43</v>
      </c>
      <c r="L317">
        <v>6</v>
      </c>
      <c r="M31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Q20043.6</v>
      </c>
      <c r="N31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I.13.43.6</v>
      </c>
    </row>
    <row r="318" spans="1:16" x14ac:dyDescent="0.25">
      <c r="A318" t="s">
        <v>206</v>
      </c>
      <c r="I318" t="s">
        <v>718</v>
      </c>
      <c r="J318" t="s">
        <v>719</v>
      </c>
      <c r="K318">
        <v>43</v>
      </c>
      <c r="L318">
        <v>7</v>
      </c>
      <c r="M31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Q20043.7</v>
      </c>
      <c r="N31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I.13.43.7</v>
      </c>
    </row>
    <row r="320" spans="1:16" x14ac:dyDescent="0.25">
      <c r="A320" t="s">
        <v>769</v>
      </c>
      <c r="B320" t="s">
        <v>770</v>
      </c>
      <c r="C320" t="s">
        <v>459</v>
      </c>
      <c r="D320" t="s">
        <v>593</v>
      </c>
      <c r="E320" t="s">
        <v>367</v>
      </c>
      <c r="F320" t="s">
        <v>370</v>
      </c>
      <c r="G320" t="s">
        <v>57</v>
      </c>
      <c r="H320" t="s">
        <v>113</v>
      </c>
      <c r="I320" t="s">
        <v>718</v>
      </c>
      <c r="J320" t="s">
        <v>719</v>
      </c>
      <c r="K320">
        <v>44</v>
      </c>
      <c r="L320">
        <v>0</v>
      </c>
      <c r="M32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Q20044.0</v>
      </c>
      <c r="N32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I.13.44.0</v>
      </c>
      <c r="O320" t="s">
        <v>771</v>
      </c>
      <c r="P320" t="s">
        <v>772</v>
      </c>
    </row>
    <row r="321" spans="1:16" x14ac:dyDescent="0.25">
      <c r="A321" t="s">
        <v>769</v>
      </c>
      <c r="B321" t="s">
        <v>773</v>
      </c>
      <c r="C321" t="s">
        <v>459</v>
      </c>
      <c r="D321" t="s">
        <v>596</v>
      </c>
      <c r="E321" t="s">
        <v>367</v>
      </c>
      <c r="F321" t="s">
        <v>370</v>
      </c>
      <c r="G321" t="s">
        <v>57</v>
      </c>
      <c r="H321" t="s">
        <v>125</v>
      </c>
      <c r="I321" t="s">
        <v>718</v>
      </c>
      <c r="J321" t="s">
        <v>719</v>
      </c>
      <c r="K321">
        <v>44</v>
      </c>
      <c r="L321">
        <v>1</v>
      </c>
      <c r="M32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Q20044.1</v>
      </c>
      <c r="N32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I.13.44.1</v>
      </c>
      <c r="O321" t="s">
        <v>774</v>
      </c>
      <c r="P321" t="s">
        <v>775</v>
      </c>
    </row>
    <row r="322" spans="1:16" x14ac:dyDescent="0.25">
      <c r="A322" t="s">
        <v>769</v>
      </c>
      <c r="B322" t="s">
        <v>776</v>
      </c>
      <c r="C322" t="s">
        <v>45</v>
      </c>
      <c r="D322" t="s">
        <v>366</v>
      </c>
      <c r="E322" t="s">
        <v>367</v>
      </c>
      <c r="F322" t="s">
        <v>370</v>
      </c>
      <c r="G322" t="s">
        <v>57</v>
      </c>
      <c r="H322" t="s">
        <v>137</v>
      </c>
      <c r="I322" t="s">
        <v>718</v>
      </c>
      <c r="J322" t="s">
        <v>719</v>
      </c>
      <c r="K322">
        <v>44</v>
      </c>
      <c r="L322">
        <v>2</v>
      </c>
      <c r="M32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Q20044.2</v>
      </c>
      <c r="N32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I.13.44.2</v>
      </c>
      <c r="O322" t="s">
        <v>777</v>
      </c>
      <c r="P322" t="s">
        <v>778</v>
      </c>
    </row>
    <row r="323" spans="1:16" x14ac:dyDescent="0.25">
      <c r="A323" t="s">
        <v>769</v>
      </c>
      <c r="B323" t="s">
        <v>779</v>
      </c>
      <c r="C323" t="s">
        <v>45</v>
      </c>
      <c r="D323" t="s">
        <v>374</v>
      </c>
      <c r="E323" t="s">
        <v>367</v>
      </c>
      <c r="F323" t="s">
        <v>370</v>
      </c>
      <c r="G323" t="s">
        <v>57</v>
      </c>
      <c r="H323" t="s">
        <v>375</v>
      </c>
      <c r="I323" t="s">
        <v>718</v>
      </c>
      <c r="J323" t="s">
        <v>719</v>
      </c>
      <c r="K323">
        <v>44</v>
      </c>
      <c r="L323">
        <v>3</v>
      </c>
      <c r="M32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Q20044.3</v>
      </c>
      <c r="N32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I.13.44.3</v>
      </c>
      <c r="O323" t="s">
        <v>780</v>
      </c>
      <c r="P323" t="s">
        <v>781</v>
      </c>
    </row>
    <row r="324" spans="1:16" x14ac:dyDescent="0.25">
      <c r="A324" t="s">
        <v>769</v>
      </c>
      <c r="I324" t="s">
        <v>718</v>
      </c>
      <c r="J324" t="s">
        <v>719</v>
      </c>
      <c r="K324">
        <v>44</v>
      </c>
      <c r="L324">
        <v>4</v>
      </c>
      <c r="M32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Q20044.4</v>
      </c>
      <c r="N32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I.13.44.4</v>
      </c>
    </row>
    <row r="325" spans="1:16" x14ac:dyDescent="0.25">
      <c r="A325" t="s">
        <v>769</v>
      </c>
      <c r="I325" t="s">
        <v>718</v>
      </c>
      <c r="J325" t="s">
        <v>719</v>
      </c>
      <c r="K325">
        <v>44</v>
      </c>
      <c r="L325">
        <v>5</v>
      </c>
      <c r="M32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Q20044.5</v>
      </c>
      <c r="N32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I.13.44.5</v>
      </c>
    </row>
    <row r="326" spans="1:16" x14ac:dyDescent="0.25">
      <c r="A326" t="s">
        <v>769</v>
      </c>
      <c r="I326" t="s">
        <v>718</v>
      </c>
      <c r="J326" t="s">
        <v>719</v>
      </c>
      <c r="K326">
        <v>44</v>
      </c>
      <c r="L326">
        <v>6</v>
      </c>
      <c r="M32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Q20044.6</v>
      </c>
      <c r="N32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I.13.44.6</v>
      </c>
    </row>
    <row r="327" spans="1:16" x14ac:dyDescent="0.25">
      <c r="A327" t="s">
        <v>769</v>
      </c>
      <c r="I327" t="s">
        <v>718</v>
      </c>
      <c r="J327" t="s">
        <v>719</v>
      </c>
      <c r="K327">
        <v>44</v>
      </c>
      <c r="L327">
        <v>7</v>
      </c>
      <c r="M32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Q20044.7</v>
      </c>
      <c r="N32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I.13.44.7</v>
      </c>
    </row>
    <row r="328" spans="1:16" x14ac:dyDescent="0.25">
      <c r="A328" t="s">
        <v>769</v>
      </c>
      <c r="I328" t="s">
        <v>718</v>
      </c>
      <c r="J328" t="s">
        <v>719</v>
      </c>
      <c r="K328">
        <v>45</v>
      </c>
      <c r="L328">
        <v>0</v>
      </c>
      <c r="M32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Q20045.0</v>
      </c>
      <c r="N32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I.13.45.0</v>
      </c>
    </row>
    <row r="329" spans="1:16" x14ac:dyDescent="0.25">
      <c r="A329" t="s">
        <v>769</v>
      </c>
      <c r="I329" t="s">
        <v>718</v>
      </c>
      <c r="J329" t="s">
        <v>719</v>
      </c>
      <c r="K329">
        <v>45</v>
      </c>
      <c r="L329">
        <v>1</v>
      </c>
      <c r="M32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Q20045.1</v>
      </c>
      <c r="N32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I.13.45.1</v>
      </c>
    </row>
    <row r="330" spans="1:16" x14ac:dyDescent="0.25">
      <c r="A330" t="s">
        <v>769</v>
      </c>
      <c r="I330" t="s">
        <v>718</v>
      </c>
      <c r="J330" t="s">
        <v>719</v>
      </c>
      <c r="K330">
        <v>45</v>
      </c>
      <c r="L330">
        <v>2</v>
      </c>
      <c r="M33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Q20045.2</v>
      </c>
      <c r="N33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I.13.45.2</v>
      </c>
    </row>
    <row r="331" spans="1:16" x14ac:dyDescent="0.25">
      <c r="A331" t="s">
        <v>769</v>
      </c>
      <c r="I331" t="s">
        <v>718</v>
      </c>
      <c r="J331" t="s">
        <v>719</v>
      </c>
      <c r="K331">
        <v>45</v>
      </c>
      <c r="L331">
        <v>3</v>
      </c>
      <c r="M33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Q20045.3</v>
      </c>
      <c r="N33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I.13.45.3</v>
      </c>
    </row>
    <row r="332" spans="1:16" x14ac:dyDescent="0.25">
      <c r="A332" t="s">
        <v>769</v>
      </c>
      <c r="I332" t="s">
        <v>718</v>
      </c>
      <c r="J332" t="s">
        <v>719</v>
      </c>
      <c r="K332">
        <v>45</v>
      </c>
      <c r="L332">
        <v>4</v>
      </c>
      <c r="M33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Q20045.4</v>
      </c>
      <c r="N33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I.13.45.4</v>
      </c>
    </row>
    <row r="333" spans="1:16" x14ac:dyDescent="0.25">
      <c r="A333" t="s">
        <v>769</v>
      </c>
      <c r="I333" t="s">
        <v>718</v>
      </c>
      <c r="J333" t="s">
        <v>719</v>
      </c>
      <c r="K333">
        <v>45</v>
      </c>
      <c r="L333">
        <v>5</v>
      </c>
      <c r="M33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Q20045.5</v>
      </c>
      <c r="N33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I.13.45.5</v>
      </c>
    </row>
    <row r="334" spans="1:16" x14ac:dyDescent="0.25">
      <c r="A334" t="s">
        <v>769</v>
      </c>
      <c r="I334" t="s">
        <v>718</v>
      </c>
      <c r="J334" t="s">
        <v>719</v>
      </c>
      <c r="K334">
        <v>45</v>
      </c>
      <c r="L334">
        <v>6</v>
      </c>
      <c r="M33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Q20045.6</v>
      </c>
      <c r="N33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I.13.45.6</v>
      </c>
    </row>
    <row r="335" spans="1:16" x14ac:dyDescent="0.25">
      <c r="A335" t="s">
        <v>769</v>
      </c>
      <c r="I335" t="s">
        <v>718</v>
      </c>
      <c r="J335" t="s">
        <v>719</v>
      </c>
      <c r="K335">
        <v>45</v>
      </c>
      <c r="L335">
        <v>7</v>
      </c>
      <c r="M33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Q20045.7</v>
      </c>
      <c r="N33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I.13.45.7</v>
      </c>
    </row>
    <row r="337" spans="1:16" x14ac:dyDescent="0.25">
      <c r="A337" t="s">
        <v>782</v>
      </c>
      <c r="B337" t="s">
        <v>783</v>
      </c>
      <c r="C337" t="s">
        <v>459</v>
      </c>
      <c r="D337" t="s">
        <v>549</v>
      </c>
      <c r="E337" t="s">
        <v>313</v>
      </c>
      <c r="F337" t="s">
        <v>316</v>
      </c>
      <c r="G337" t="s">
        <v>115</v>
      </c>
      <c r="H337" t="s">
        <v>108</v>
      </c>
      <c r="I337" t="s">
        <v>784</v>
      </c>
      <c r="J337" t="s">
        <v>719</v>
      </c>
      <c r="K337">
        <v>46</v>
      </c>
      <c r="M33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Q20046</v>
      </c>
      <c r="N33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I.13.46</v>
      </c>
      <c r="O337" t="s">
        <v>785</v>
      </c>
      <c r="P337" t="s">
        <v>783</v>
      </c>
    </row>
    <row r="339" spans="1:16" x14ac:dyDescent="0.25">
      <c r="A339" t="s">
        <v>782</v>
      </c>
      <c r="B339" t="s">
        <v>972</v>
      </c>
      <c r="C339" t="s">
        <v>45</v>
      </c>
      <c r="D339" t="s">
        <v>277</v>
      </c>
      <c r="E339" t="s">
        <v>313</v>
      </c>
      <c r="F339" t="s">
        <v>316</v>
      </c>
      <c r="G339" t="s">
        <v>115</v>
      </c>
      <c r="H339" t="s">
        <v>119</v>
      </c>
      <c r="I339" t="s">
        <v>784</v>
      </c>
      <c r="J339" t="s">
        <v>719</v>
      </c>
      <c r="K339">
        <v>48</v>
      </c>
      <c r="M33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Q20048</v>
      </c>
      <c r="N33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I.13.48</v>
      </c>
      <c r="O339" t="s">
        <v>973</v>
      </c>
      <c r="P339" t="s">
        <v>972</v>
      </c>
    </row>
    <row r="341" spans="1:16" x14ac:dyDescent="0.25">
      <c r="A341" t="s">
        <v>786</v>
      </c>
      <c r="B341" t="s">
        <v>787</v>
      </c>
      <c r="C341" t="s">
        <v>459</v>
      </c>
      <c r="D341" t="s">
        <v>593</v>
      </c>
      <c r="E341" t="s">
        <v>367</v>
      </c>
      <c r="F341" t="s">
        <v>370</v>
      </c>
      <c r="G341" t="s">
        <v>57</v>
      </c>
      <c r="H341" t="s">
        <v>113</v>
      </c>
      <c r="I341" t="s">
        <v>718</v>
      </c>
      <c r="J341" t="s">
        <v>740</v>
      </c>
      <c r="K341">
        <v>10</v>
      </c>
      <c r="L341">
        <v>0</v>
      </c>
      <c r="M34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I20010.0</v>
      </c>
      <c r="N34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O.13.10.0</v>
      </c>
      <c r="O341" t="s">
        <v>788</v>
      </c>
      <c r="P341" t="s">
        <v>787</v>
      </c>
    </row>
    <row r="342" spans="1:16" x14ac:dyDescent="0.25">
      <c r="A342" t="s">
        <v>786</v>
      </c>
      <c r="B342" t="s">
        <v>789</v>
      </c>
      <c r="C342" t="s">
        <v>459</v>
      </c>
      <c r="D342" t="s">
        <v>596</v>
      </c>
      <c r="E342" t="s">
        <v>367</v>
      </c>
      <c r="F342" t="s">
        <v>370</v>
      </c>
      <c r="G342" t="s">
        <v>57</v>
      </c>
      <c r="H342" t="s">
        <v>125</v>
      </c>
      <c r="I342" t="s">
        <v>718</v>
      </c>
      <c r="J342" t="s">
        <v>740</v>
      </c>
      <c r="K342">
        <v>10</v>
      </c>
      <c r="L342">
        <v>1</v>
      </c>
      <c r="M34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I20010.1</v>
      </c>
      <c r="N34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O.13.10.1</v>
      </c>
      <c r="O342" t="s">
        <v>790</v>
      </c>
      <c r="P342" t="s">
        <v>789</v>
      </c>
    </row>
    <row r="343" spans="1:16" x14ac:dyDescent="0.25">
      <c r="A343" t="s">
        <v>786</v>
      </c>
      <c r="B343" t="s">
        <v>791</v>
      </c>
      <c r="C343" t="s">
        <v>45</v>
      </c>
      <c r="D343" t="s">
        <v>366</v>
      </c>
      <c r="E343" t="s">
        <v>367</v>
      </c>
      <c r="F343" t="s">
        <v>370</v>
      </c>
      <c r="G343" t="s">
        <v>57</v>
      </c>
      <c r="H343" t="s">
        <v>137</v>
      </c>
      <c r="I343" t="s">
        <v>718</v>
      </c>
      <c r="J343" t="s">
        <v>740</v>
      </c>
      <c r="K343">
        <v>10</v>
      </c>
      <c r="L343">
        <v>2</v>
      </c>
      <c r="M34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I20010.2</v>
      </c>
      <c r="N34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O.13.10.2</v>
      </c>
      <c r="O343" t="s">
        <v>792</v>
      </c>
      <c r="P343" t="s">
        <v>791</v>
      </c>
    </row>
    <row r="344" spans="1:16" x14ac:dyDescent="0.25">
      <c r="A344" t="s">
        <v>786</v>
      </c>
      <c r="B344" t="s">
        <v>793</v>
      </c>
      <c r="C344" t="s">
        <v>45</v>
      </c>
      <c r="D344" t="s">
        <v>374</v>
      </c>
      <c r="E344" t="s">
        <v>367</v>
      </c>
      <c r="F344" t="s">
        <v>370</v>
      </c>
      <c r="G344" t="s">
        <v>57</v>
      </c>
      <c r="H344" t="s">
        <v>375</v>
      </c>
      <c r="I344" t="s">
        <v>718</v>
      </c>
      <c r="J344" t="s">
        <v>740</v>
      </c>
      <c r="K344">
        <v>10</v>
      </c>
      <c r="L344">
        <v>3</v>
      </c>
      <c r="M34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I20010.3</v>
      </c>
      <c r="N34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O.13.10.3</v>
      </c>
      <c r="O344" t="s">
        <v>794</v>
      </c>
      <c r="P344" t="s">
        <v>793</v>
      </c>
    </row>
    <row r="345" spans="1:16" x14ac:dyDescent="0.25">
      <c r="A345" t="s">
        <v>786</v>
      </c>
      <c r="I345" t="s">
        <v>718</v>
      </c>
      <c r="J345" t="s">
        <v>740</v>
      </c>
      <c r="K345">
        <v>10</v>
      </c>
      <c r="L345">
        <v>4</v>
      </c>
      <c r="M34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I20010.4</v>
      </c>
      <c r="N34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O.13.10.4</v>
      </c>
    </row>
    <row r="346" spans="1:16" x14ac:dyDescent="0.25">
      <c r="A346" t="s">
        <v>786</v>
      </c>
      <c r="I346" t="s">
        <v>718</v>
      </c>
      <c r="J346" t="s">
        <v>740</v>
      </c>
      <c r="K346">
        <v>10</v>
      </c>
      <c r="L346">
        <v>5</v>
      </c>
      <c r="M34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I20010.5</v>
      </c>
      <c r="N34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O.13.10.5</v>
      </c>
    </row>
    <row r="347" spans="1:16" x14ac:dyDescent="0.25">
      <c r="A347" t="s">
        <v>786</v>
      </c>
      <c r="I347" t="s">
        <v>718</v>
      </c>
      <c r="J347" t="s">
        <v>740</v>
      </c>
      <c r="K347">
        <v>10</v>
      </c>
      <c r="L347">
        <v>6</v>
      </c>
      <c r="M347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I20010.6</v>
      </c>
      <c r="N347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O.13.10.6</v>
      </c>
    </row>
    <row r="348" spans="1:16" x14ac:dyDescent="0.25">
      <c r="A348" t="s">
        <v>786</v>
      </c>
      <c r="I348" t="s">
        <v>718</v>
      </c>
      <c r="J348" t="s">
        <v>740</v>
      </c>
      <c r="K348">
        <v>10</v>
      </c>
      <c r="L348">
        <v>7</v>
      </c>
      <c r="M348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I20010.7</v>
      </c>
      <c r="N348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O.13.10.7</v>
      </c>
    </row>
    <row r="349" spans="1:16" x14ac:dyDescent="0.25">
      <c r="A349" t="s">
        <v>786</v>
      </c>
      <c r="I349" t="s">
        <v>718</v>
      </c>
      <c r="J349" t="s">
        <v>740</v>
      </c>
      <c r="K349">
        <v>11</v>
      </c>
      <c r="L349">
        <v>0</v>
      </c>
      <c r="M349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I20011.0</v>
      </c>
      <c r="N349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O.13.11.0</v>
      </c>
    </row>
    <row r="350" spans="1:16" x14ac:dyDescent="0.25">
      <c r="A350" t="s">
        <v>786</v>
      </c>
      <c r="I350" t="s">
        <v>718</v>
      </c>
      <c r="J350" t="s">
        <v>740</v>
      </c>
      <c r="K350">
        <v>11</v>
      </c>
      <c r="L350">
        <v>1</v>
      </c>
      <c r="M350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I20011.1</v>
      </c>
      <c r="N350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O.13.11.1</v>
      </c>
    </row>
    <row r="351" spans="1:16" x14ac:dyDescent="0.25">
      <c r="A351" t="s">
        <v>786</v>
      </c>
      <c r="I351" t="s">
        <v>718</v>
      </c>
      <c r="J351" t="s">
        <v>740</v>
      </c>
      <c r="K351">
        <v>11</v>
      </c>
      <c r="L351">
        <v>2</v>
      </c>
      <c r="M351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I20011.2</v>
      </c>
      <c r="N351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O.13.11.2</v>
      </c>
    </row>
    <row r="352" spans="1:16" x14ac:dyDescent="0.25">
      <c r="A352" t="s">
        <v>786</v>
      </c>
      <c r="I352" t="s">
        <v>718</v>
      </c>
      <c r="J352" t="s">
        <v>740</v>
      </c>
      <c r="K352">
        <v>11</v>
      </c>
      <c r="L352">
        <v>3</v>
      </c>
      <c r="M352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I20011.3</v>
      </c>
      <c r="N352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O.13.11.3</v>
      </c>
    </row>
    <row r="353" spans="1:14" x14ac:dyDescent="0.25">
      <c r="A353" t="s">
        <v>786</v>
      </c>
      <c r="I353" t="s">
        <v>718</v>
      </c>
      <c r="J353" t="s">
        <v>740</v>
      </c>
      <c r="K353">
        <v>11</v>
      </c>
      <c r="L353">
        <v>4</v>
      </c>
      <c r="M353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I20011.4</v>
      </c>
      <c r="N353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O.13.11.4</v>
      </c>
    </row>
    <row r="354" spans="1:14" x14ac:dyDescent="0.25">
      <c r="A354" t="s">
        <v>786</v>
      </c>
      <c r="I354" t="s">
        <v>718</v>
      </c>
      <c r="J354" t="s">
        <v>740</v>
      </c>
      <c r="K354">
        <v>11</v>
      </c>
      <c r="L354">
        <v>5</v>
      </c>
      <c r="M354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I20011.5</v>
      </c>
      <c r="N354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O.13.11.5</v>
      </c>
    </row>
    <row r="355" spans="1:14" x14ac:dyDescent="0.25">
      <c r="A355" t="s">
        <v>786</v>
      </c>
      <c r="I355" t="s">
        <v>718</v>
      </c>
      <c r="J355" t="s">
        <v>740</v>
      </c>
      <c r="K355">
        <v>11</v>
      </c>
      <c r="L355">
        <v>6</v>
      </c>
      <c r="M355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I20011.6</v>
      </c>
      <c r="N355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O.13.11.6</v>
      </c>
    </row>
    <row r="356" spans="1:14" x14ac:dyDescent="0.25">
      <c r="A356" t="s">
        <v>786</v>
      </c>
      <c r="I356" t="s">
        <v>718</v>
      </c>
      <c r="J356" t="s">
        <v>740</v>
      </c>
      <c r="K356">
        <v>11</v>
      </c>
      <c r="L356">
        <v>7</v>
      </c>
      <c r="M356" t="str">
        <f>_xlfn.LET(
    _xlpm.iSynt, $AI$2,
    _xlpm.qSynt, $AJ$2,
    _xlpm.synt, IF(SORTER_SIGNALS_SORTER_DIAG_02[[#This Row],[Direction &lt;/&gt;]] = "&lt;", _xlpm.iSynt, IF(SORTER_SIGNALS_SORTER_DIAG_02[[#This Row],[Direction &lt;/&gt;]] = "&gt;",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$AH$2 + SORTER_SIGNALS_SORTER_DIAG_02[[#This Row],[I/O Offset Byte]]
        ),
        ""
    )
)</f>
        <v>I20011.7</v>
      </c>
      <c r="N356" t="str">
        <f>_xlfn.LET(
    _xlpm.iSynt, $AI$3,
    _xlpm.qSynt, $AJ$3,
    _xlpm.synt, IF(SORTER_SIGNALS_SORTER_DIAG_02[[#This Row],[Direction &lt;/&gt;]] = "&gt;", _xlpm.iSynt, IF(SORTER_SIGNALS_SORTER_DIAG_02[[#This Row],[Direction &lt;/&gt;]] = "&lt;", _xlpm.qSynt, "")),
    IF(
        _xlpm.synt &lt;&gt; "",
        SUBSTITUTE(
            IF(
                SORTER_SIGNALS_SORTER_DIAG_02[[#This Row],[Data Type]] = "BOOL",
                SUBSTITUTE(SUBSTITUTE(_xlpm.synt, "/", ""), "&lt;bit&gt;", SORTER_SIGNALS_SORTER_DIAG_02[[#This Row],[I/O Bit]]),
                _xlfn.TEXTBEFORE(_xlpm.synt, "/")
            ),
            "&lt;base+offset&gt;",
            $AH$3 + SORTER_SIGNALS_SORTER_DIAG_02[[#This Row],[I/O Offset Byte]]
        ),
        ""
    )
)</f>
        <v>O.13.11.7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NET SAFETY 50</vt:lpstr>
      <vt:lpstr>NET SAFETY 51</vt:lpstr>
      <vt:lpstr>DiagnosisBlocks</vt:lpstr>
      <vt:lpstr>_UnresolvedIndex</vt:lpstr>
      <vt:lpstr>SORTER-01</vt:lpstr>
      <vt:lpstr>SORTER+DIAG-02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DRAGOI Bogdan petre1</cp:lastModifiedBy>
  <dcterms:created xsi:type="dcterms:W3CDTF">2015-06-05T18:17:20Z</dcterms:created>
  <dcterms:modified xsi:type="dcterms:W3CDTF">2026-06-20T00:25:22Z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dea034-1d1c-4409-b1d7-de5528342d8a_Enabled">
    <vt:lpwstr>true</vt:lpwstr>
  </property>
  <property fmtid="{D5CDD505-2E9C-101B-9397-08002B2CF9AE}" pid="3" name="MSIP_Label_85dea034-1d1c-4409-b1d7-de5528342d8a_SetDate">
    <vt:lpwstr>2025-07-07T13:11:18Z</vt:lpwstr>
  </property>
  <property fmtid="{D5CDD505-2E9C-101B-9397-08002B2CF9AE}" pid="4" name="MSIP_Label_85dea034-1d1c-4409-b1d7-de5528342d8a_Method">
    <vt:lpwstr>Privileged</vt:lpwstr>
  </property>
  <property fmtid="{D5CDD505-2E9C-101B-9397-08002B2CF9AE}" pid="5" name="MSIP_Label_85dea034-1d1c-4409-b1d7-de5528342d8a_Name">
    <vt:lpwstr>FIL-IT-C2-Internal</vt:lpwstr>
  </property>
  <property fmtid="{D5CDD505-2E9C-101B-9397-08002B2CF9AE}" pid="6" name="MSIP_Label_85dea034-1d1c-4409-b1d7-de5528342d8a_SiteId">
    <vt:lpwstr>8eeda45f-61e4-4e2c-ac8b-6019b84f9775</vt:lpwstr>
  </property>
  <property fmtid="{D5CDD505-2E9C-101B-9397-08002B2CF9AE}" pid="7" name="MSIP_Label_85dea034-1d1c-4409-b1d7-de5528342d8a_ActionId">
    <vt:lpwstr>f236176d-509f-45e3-a37f-725e7d75f4ee</vt:lpwstr>
  </property>
  <property fmtid="{D5CDD505-2E9C-101B-9397-08002B2CF9AE}" pid="8" name="MSIP_Label_85dea034-1d1c-4409-b1d7-de5528342d8a_ContentBits">
    <vt:lpwstr>1</vt:lpwstr>
  </property>
  <property fmtid="{D5CDD505-2E9C-101B-9397-08002B2CF9AE}" pid="9" name="MSIP_Label_85dea034-1d1c-4409-b1d7-de5528342d8a_Tag">
    <vt:lpwstr>10, 0, 1, 1</vt:lpwstr>
  </property>
</Properties>
</file>