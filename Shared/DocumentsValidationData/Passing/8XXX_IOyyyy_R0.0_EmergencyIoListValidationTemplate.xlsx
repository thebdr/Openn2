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74F30B35-8E30-4920-9474-D95799298B4A}" xr6:coauthVersionLast="47" xr6:coauthVersionMax="47" xr10:uidLastSave="{00000000-0000-0000-0000-000000000000}"/>
  <bookViews>
    <workbookView xWindow="-120" yWindow="-120" windowWidth="29040" windowHeight="17790" activeTab="1" xr2:uid="{9FADC895-0395-4F4D-A5BB-C71DE81AA975}"/>
  </bookViews>
  <sheets>
    <sheet name="COVER" sheetId="3" r:id="rId1"/>
    <sheet name="NET SAFETY 50" sheetId="2" r:id="rId2"/>
    <sheet name="DiagnosisBlocks" sheetId="4" r:id="rId3"/>
  </sheets>
  <externalReferences>
    <externalReference r:id="rId4"/>
  </externalReferences>
  <definedNames>
    <definedName name="_xlnm._FilterDatabase" localSheetId="1" hidden="1">'NET SAFETY 50'!$A$1:$AF$9237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" i="4" l="1" a="1"/>
  <c r="AA2" i="2" a="1"/>
  <c r="W122" i="2"/>
  <c r="V122" i="2"/>
  <c r="B2" i="4" a="1"/>
  <c r="E2" i="4" a="1"/>
  <c r="AC1" i="2" a="1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<sst xmlns="http://schemas.openxmlformats.org/spreadsheetml/2006/main" count="2293" uniqueCount="487">
  <si>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</si>
  <si>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</si>
  <si>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</si>
  <si>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</si>
  <si>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</si>
  <si>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</si>
  <si>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</si>
  <si>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</si>
  <si>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</si>
  <si>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</si>
  <si>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</si>
  <si>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</si>
  <si>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</si>
  <si>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</si>
  <si>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</si>
  <si>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</si>
  <si>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</si>
  <si>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</si>
  <si>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</si>
  <si>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</si>
  <si>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</si>
  <si>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</si>
  <si>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</si>
  <si>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</si>
  <si>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</si>
  <si>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</si>
  <si>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</si>
  <si>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</si>
  <si>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</si>
  <si>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</si>
  <si>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</si>
  <si>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</si>
  <si>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</si>
  <si>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</si>
  <si>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</si>
  <si>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</si>
  <si>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</si>
  <si>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</si>
  <si>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</si>
  <si>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</si>
  <si>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</si>
  <si>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</si>
  <si>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</si>
  <si>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</si>
  <si>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</si>
  <si>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</si>
  <si>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</si>
  <si>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</si>
  <si>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</si>
  <si>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</si>
  <si>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</si>
  <si>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</si>
  <si>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</si>
  <si>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</si>
  <si>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</si>
  <si>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</si>
  <si>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</si>
  <si>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</si>
  <si>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</si>
  <si>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</si>
  <si>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</si>
  <si>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</si>
  <si>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</si>
  <si>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</si>
  <si>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</si>
  <si>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</si>
  <si>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</si>
  <si>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</si>
  <si>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</si>
  <si>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</si>
  <si>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</si>
  <si>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</si>
  <si>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</si>
  <si>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</si>
  <si>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</si>
  <si>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</si>
  <si>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</si>
  <si>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</si>
  <si>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</si>
  <si>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</si>
  <si>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</si>
  <si>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</si>
  <si>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</si>
  <si>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</si>
  <si>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</si>
  <si>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</si>
  <si>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</si>
  <si>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</si>
  <si>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</si>
  <si>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</si>
  <si>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</si>
  <si>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</si>
  <si>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</si>
  <si>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</si>
  <si>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</si>
  <si>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</si>
  <si>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</si>
  <si>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</si>
  <si>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</si>
  <si>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</si>
  <si>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</si>
  <si>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</si>
  <si>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</si>
  <si>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</si>
  <si>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</si>
  <si>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</si>
  <si>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</si>
  <si>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</si>
  <si>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</si>
  <si>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</si>
  <si>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</si>
  <si>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</si>
  <si>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</si>
  <si>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</si>
  <si>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</si>
  <si>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</si>
  <si>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</si>
  <si>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</si>
  <si>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</si>
  <si>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</si>
  <si>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</si>
  <si>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</si>
  <si>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</si>
  <si>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</si>
  <si>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</si>
  <si>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</si>
  <si>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</si>
  <si>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</si>
  <si>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</si>
  <si>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</si>
  <si>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</si>
  <si>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</si>
  <si>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</si>
  <si>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</si>
  <si>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</si>
  <si>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</si>
  <si>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</si>
  <si>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</si>
  <si>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</si>
  <si>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</si>
  <si>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</si>
  <si>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</si>
  <si>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</si>
  <si>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</si>
  <si>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</si>
  <si>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</si>
  <si>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</si>
  <si>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</si>
  <si>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</si>
  <si>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</si>
  <si>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</si>
  <si>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</si>
  <si>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</si>
  <si>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</si>
  <si>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</si>
  <si>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</si>
  <si>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</si>
  <si>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</si>
  <si>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</si>
  <si>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</si>
  <si>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</si>
  <si>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</si>
  <si>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</si>
  <si>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</si>
  <si>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</si>
  <si>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</si>
  <si>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</si>
  <si>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</si>
  <si>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</si>
  <si>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</si>
  <si>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</si>
  <si>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</si>
  <si>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</si>
  <si>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</si>
  <si>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</si>
  <si>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</si>
  <si>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</si>
  <si>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</si>
  <si>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</si>
  <si>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</si>
  <si>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</si>
  <si>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</si>
  <si>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</si>
  <si>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</si>
  <si>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</si>
  <si>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</si>
  <si>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</si>
  <si>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</si>
  <si>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</si>
  <si>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</si>
  <si>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</si>
  <si>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</si>
  <si>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</si>
  <si>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</si>
  <si>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</si>
  <si>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</si>
  <si>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</si>
  <si>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</si>
  <si>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</si>
  <si>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</si>
  <si>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</si>
  <si>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</si>
  <si>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</si>
  <si>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</si>
  <si>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</si>
  <si>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</si>
  <si>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</si>
  <si>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</si>
  <si>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</si>
  <si>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</si>
  <si>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</si>
  <si>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</si>
  <si>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</si>
  <si>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</si>
  <si>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</si>
  <si>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</si>
  <si>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</si>
  <si>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</si>
  <si>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</si>
  <si>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</si>
  <si>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</si>
  <si>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</si>
  <si>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</si>
  <si>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</si>
  <si>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</si>
  <si>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</si>
  <si>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</si>
  <si>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</si>
  <si>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</si>
  <si>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</si>
  <si>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</si>
  <si>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</si>
  <si>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</si>
  <si>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</si>
  <si>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</si>
  <si>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</si>
  <si>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</si>
  <si>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</si>
  <si>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</si>
  <si>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</si>
  <si>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</si>
  <si>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</si>
  <si>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</si>
  <si>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</si>
  <si>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</si>
  <si>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</si>
  <si>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</si>
  <si>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</si>
  <si>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</si>
  <si>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</si>
  <si>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</si>
  <si>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</si>
  <si>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</si>
  <si>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</si>
  <si>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</si>
  <si>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</si>
  <si>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</si>
  <si>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</si>
  <si>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</si>
  <si>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</si>
  <si>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</si>
  <si>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</si>
  <si>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</si>
  <si>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</si>
  <si>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</si>
  <si>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</si>
  <si>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</si>
  <si>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</si>
  <si>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</si>
  <si>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</si>
  <si>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</si>
  <si>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</si>
  <si>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</si>
  <si>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</si>
  <si>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</si>
  <si>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</si>
  <si>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</si>
  <si>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</si>
  <si>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</si>
  <si>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</si>
  <si>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</si>
  <si>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</si>
  <si>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</si>
  <si>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</si>
  <si>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</si>
  <si>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</si>
  <si>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</si>
  <si>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</si>
  <si>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</si>
  <si>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</si>
  <si>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</si>
  <si>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</si>
  <si>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</si>
  <si>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</si>
  <si>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</si>
  <si>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</si>
  <si>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</si>
  <si>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</si>
  <si>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</si>
  <si>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</si>
  <si>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</si>
  <si>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</si>
  <si>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</si>
  <si>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</si>
  <si>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</si>
  <si>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</si>
  <si>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</si>
  <si>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</si>
  <si>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</si>
  <si>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</si>
  <si>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</si>
  <si>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</si>
  <si>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</si>
  <si>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</si>
  <si>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</si>
  <si>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</si>
  <si>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</si>
  <si>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</si>
  <si>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</si>
  <si>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</si>
  <si>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</si>
  <si>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</si>
  <si>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</si>
  <si>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</si>
  <si>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ID_SWP</t>
  </si>
  <si>
    <t>ID_Local</t>
  </si>
  <si>
    <t>Functional Unit</t>
  </si>
  <si>
    <t>KQ</t>
  </si>
  <si>
    <t>MAINTENANCE CONSOLE CH1</t>
  </si>
  <si>
    <t>MAINTENANCE CONSOLE CH2</t>
  </si>
  <si>
    <t>DQ</t>
  </si>
  <si>
    <t>DL</t>
  </si>
  <si>
    <t>DR</t>
  </si>
  <si>
    <t xml:space="preserve">EMERGENCY RESET </t>
  </si>
  <si>
    <t>KI</t>
  </si>
  <si>
    <t>DD</t>
  </si>
  <si>
    <t>Index</t>
  </si>
  <si>
    <t>Diag Cabinet</t>
  </si>
  <si>
    <t>Diag Bit</t>
  </si>
  <si>
    <t>E1/2</t>
  </si>
  <si>
    <t>B1/2</t>
  </si>
  <si>
    <t>E2/2</t>
  </si>
  <si>
    <t>B2/2</t>
  </si>
  <si>
    <t>DI1/2</t>
  </si>
  <si>
    <t>DI2/2</t>
  </si>
  <si>
    <t>PHOTOCELL 1</t>
  </si>
  <si>
    <t>PHOTOCELL 2</t>
  </si>
  <si>
    <t>Script Type</t>
  </si>
  <si>
    <t xml:space="preserve">Skip Reason </t>
  </si>
  <si>
    <t>0001</t>
  </si>
  <si>
    <t>000</t>
  </si>
  <si>
    <t>00</t>
  </si>
  <si>
    <t>0002</t>
  </si>
  <si>
    <t>01</t>
  </si>
  <si>
    <t>0003</t>
  </si>
  <si>
    <t>001</t>
  </si>
  <si>
    <t>02</t>
  </si>
  <si>
    <t>03</t>
  </si>
  <si>
    <t>0004</t>
  </si>
  <si>
    <t>04</t>
  </si>
  <si>
    <t>0005</t>
  </si>
  <si>
    <t>05</t>
  </si>
  <si>
    <t>0006</t>
  </si>
  <si>
    <t>06</t>
  </si>
  <si>
    <t>0007</t>
  </si>
  <si>
    <t>07</t>
  </si>
  <si>
    <t>08</t>
  </si>
  <si>
    <t>09</t>
  </si>
  <si>
    <t>0013</t>
  </si>
  <si>
    <t>002</t>
  </si>
  <si>
    <t>0014</t>
  </si>
  <si>
    <t>0015</t>
  </si>
  <si>
    <t>0016</t>
  </si>
  <si>
    <t>0017</t>
  </si>
  <si>
    <t>0018</t>
  </si>
  <si>
    <t>003</t>
  </si>
  <si>
    <t>0019</t>
  </si>
  <si>
    <t>0020</t>
  </si>
  <si>
    <t>0021</t>
  </si>
  <si>
    <t>0022</t>
  </si>
  <si>
    <t>009</t>
  </si>
  <si>
    <t>0050</t>
  </si>
  <si>
    <t>017</t>
  </si>
  <si>
    <t>015</t>
  </si>
  <si>
    <t>014</t>
  </si>
  <si>
    <t>49</t>
  </si>
  <si>
    <t>B.Dragoi</t>
  </si>
  <si>
    <t>8XXX_Ioyyyy</t>
  </si>
  <si>
    <t>First Release of validation template</t>
  </si>
  <si>
    <t>CH1 +ES0001</t>
  </si>
  <si>
    <t>CH2 +ES0001</t>
  </si>
  <si>
    <t>10000</t>
  </si>
  <si>
    <t>IOC</t>
  </si>
  <si>
    <t>FullName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</si>
  <si>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</si>
  <si>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</si>
  <si>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</si>
  <si>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</si>
  <si>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</si>
  <si>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</si>
  <si>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</si>
  <si>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</si>
  <si>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</si>
  <si>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012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</si>
  <si>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</si>
  <si>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</si>
  <si>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</si>
  <si>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</si>
  <si>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</si>
  <si>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</si>
  <si>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</si>
  <si>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</si>
  <si>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</si>
  <si>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</si>
  <si>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</si>
  <si>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</si>
  <si>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</si>
  <si>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</si>
  <si>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</si>
  <si>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</si>
  <si>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</si>
  <si>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</si>
  <si>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</si>
  <si>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</si>
  <si>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</si>
  <si>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</si>
  <si>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</si>
  <si>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</si>
  <si>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</si>
  <si>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</si>
  <si>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</si>
  <si>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013</t>
  </si>
  <si>
    <t>PW</t>
  </si>
  <si>
    <t>W</t>
  </si>
  <si>
    <t>Notes</t>
  </si>
  <si>
    <t>SORTER-01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</si>
  <si>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</si>
  <si>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</si>
  <si>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</si>
  <si>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</si>
  <si>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</si>
  <si>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</si>
  <si>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</si>
  <si>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</si>
  <si>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TemplateType</t>
  </si>
  <si>
    <t>IO COUPLER - SORTER INTERFACE</t>
  </si>
  <si>
    <t>-Q80001</t>
  </si>
  <si>
    <t>-Q80003</t>
  </si>
  <si>
    <t>-Q80004</t>
  </si>
  <si>
    <t>-Q80002</t>
  </si>
  <si>
    <t>KI1/4</t>
  </si>
  <si>
    <t>KI2/4</t>
  </si>
  <si>
    <t>KI3/4</t>
  </si>
  <si>
    <t>KI4/4</t>
  </si>
  <si>
    <t>0040</t>
  </si>
  <si>
    <t>Q140.0</t>
  </si>
  <si>
    <t>Q140.1</t>
  </si>
  <si>
    <t>Q140.2</t>
  </si>
  <si>
    <t>Q140.3</t>
  </si>
  <si>
    <t>+FieldIODevices_1</t>
  </si>
  <si>
    <t>+SafetyDoors_1</t>
  </si>
  <si>
    <t>+SafetyEncoders_1</t>
  </si>
  <si>
    <t>+SafetyBreakers_1</t>
  </si>
  <si>
    <t>+FireAlarm_1</t>
  </si>
  <si>
    <t>+EmergencyPushButtons_1</t>
  </si>
  <si>
    <t>+EmergencyPushButtons_2</t>
  </si>
  <si>
    <t>+EmergencyPushButtons_3</t>
  </si>
  <si>
    <t>+EmergencyPushButtons_4</t>
  </si>
  <si>
    <t>Count</t>
  </si>
  <si>
    <t>Z1</t>
  </si>
  <si>
    <t>Z2</t>
  </si>
  <si>
    <t>Z3</t>
  </si>
  <si>
    <t>FIRE ALARM</t>
  </si>
  <si>
    <t>F1/2</t>
  </si>
  <si>
    <t>F2/2</t>
  </si>
  <si>
    <t>R*</t>
  </si>
  <si>
    <t>N1/2</t>
  </si>
  <si>
    <t>N2/2</t>
  </si>
  <si>
    <t>AREA 2</t>
  </si>
  <si>
    <t>R2</t>
  </si>
  <si>
    <t>-S67008</t>
  </si>
  <si>
    <t>+EmergencyAreas_1</t>
  </si>
  <si>
    <t>021</t>
  </si>
  <si>
    <t>62</t>
  </si>
  <si>
    <t>61</t>
  </si>
  <si>
    <t>-X40001</t>
  </si>
  <si>
    <t>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</si>
</sst>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1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quotePrefix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49" fontId="2" fillId="0" borderId="0" xfId="0" quotePrefix="1" applyNumberFormat="1" applyFont="1" applyAlignment="1">
      <alignment horizontal="center" vertic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51"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ogdan.dragoi\AppData\Roaming\Microsoft\Excel\XLSTART\a_MyLibray.XLAM" TargetMode="External"/><Relationship Id="rId1" Type="http://schemas.microsoft.com/office/2006/relationships/xlExternalLinkPath/xlStartup" Target="a_MyLibray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HasStrikeThrough_NonVolatil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68" t="s">
        <v>387</v>
      </c>
      <c r="C2" s="68"/>
      <c r="D2" s="68"/>
      <c r="E2" s="68"/>
    </row>
    <row r="3" spans="2:6" s="2" customFormat="1" ht="27.75" customHeight="1" x14ac:dyDescent="0.4">
      <c r="B3" s="69" t="s">
        <v>51</v>
      </c>
      <c r="C3" s="69"/>
      <c r="D3" s="69"/>
      <c r="E3" s="69"/>
    </row>
    <row r="4" spans="2:6" s="2" customFormat="1" ht="27.75" customHeight="1" x14ac:dyDescent="0.4">
      <c r="B4" s="69"/>
      <c r="C4" s="69"/>
      <c r="D4" s="69"/>
      <c r="E4" s="69"/>
    </row>
    <row r="5" spans="2:6" s="2" customFormat="1" ht="27.75" customHeight="1" x14ac:dyDescent="0.4">
      <c r="B5" s="1"/>
    </row>
    <row r="6" spans="2:6" s="4" customFormat="1" ht="24.75" customHeight="1" x14ac:dyDescent="0.25">
      <c r="B6" s="60" t="s">
        <v>38</v>
      </c>
      <c r="C6" s="61" t="s">
        <v>39</v>
      </c>
      <c r="D6" s="62" t="s">
        <v>40</v>
      </c>
      <c r="E6" s="63" t="s">
        <v>41</v>
      </c>
      <c r="F6" s="3"/>
    </row>
    <row r="7" spans="2:6" x14ac:dyDescent="0.2">
      <c r="B7" s="5" t="s">
        <v>314</v>
      </c>
      <c r="C7" s="6" t="s">
        <v>437</v>
      </c>
      <c r="D7" s="7" t="s">
        <v>388</v>
      </c>
      <c r="E7" s="8" t="s">
        <v>386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abSelected="1" topLeftCell="J77" zoomScale="85" zoomScaleNormal="100" workbookViewId="0">
      <selection activeCell="AG114" sqref="AG114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hidden="1" customWidth="1" outlineLevel="1"/>
    <col min="14" max="14" width="31.140625" hidden="1" customWidth="1" outlineLevel="1"/>
    <col min="15" max="15" width="14.7109375" bestFit="1" customWidth="1" collapsed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436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 t="s">
        <v>348</v>
      </c>
      <c r="AB1" s="44" t="s">
        <v>347</v>
      </c>
      <c r="AC1" s="47" t="str" cm="1">
        <f t="array" aca="1" ref="AC1:AC138" ca="1">_xlfn.LET(
    _xlpm.Headers, A1:Z1,
    _xlpm.IOTable,_xlfn._TRO_TRAILING( A2:Z9236),
    _xlpm.getColNumber, _xlfn.LAMBDA(_xlpm.c,
        _xlfn.IFS(
            ISNUMBER(_xlpm.c),
            _xlpm.c,
            LEN(_xlpm.c &lt;= 3),
            _xlfn.XMATCH(_xlpm.c &amp; "1", ADDRESS(1, COLUMN(_xlpm.Headers), 4), 0),
            TRUE,
            _xlfn.XMATCH(_xlpm.c, _xlpm.Headers)
        )
    ),
    _xlpm.ifsLazy, _xlfn.LAMBDA(_xlpm.test1,_xlpm.value1,_xlop.test2,_xlop.value2,_xlop.test3,_xlop.value3,_xlop.test4,_xlop.value4,_xlop.test5,_xlop.value5,_xlop.test6,_xlop.value6,_xlop.test7,_xlop.value7,_xlop.test8,_xlop.value8,_xlop.test9,_xlop.value9,_xlop.test10,_xlop.value10, _xlfn.LET( _xlpm.eval, _xlfn.LAMBDA(_xlpm.x, IFERROR(_xlpm.x(), _xlpm.x)), IF( _xlpm.eval(_xlpm.test1), _xlpm.eval(_xlpm.value1), IF( _xlfn.ISOMITTED(_xlpm.test2), NA(), IF( _xlpm.eval(_xlpm.test2), _xlpm.eval(_xlpm.value2), IF( _xlfn.ISOMITTED(_xlpm.test3), NA(), IF( _xlpm.eval(_xlpm.test3), _xlpm.eval(_xlpm.value3), IF( _xlfn.ISOMITTED(_xlpm.test4), NA(), IF( _xlpm.eval(_xlpm.test4), _xlpm.eval(_xlpm.value4), IF( _xlfn.ISOMITTED(_xlpm.test5), NA(), IF( _xlpm.eval(_xlpm.test5), _xlpm.eval(_xlpm.value5), IF( _xlfn.ISOMITTED(_xlpm.test6), NA(), IF( _xlpm.eval(_xlpm.test6), _xlpm.eval(_xlpm.value6), IF( _xlfn.ISOMITTED(_xlpm.test7), NA(), IF( _xlpm.eval(_xlpm.test7), _xlpm.eval(_xlpm.value7), IF( _xlfn.ISOMITTED(_xlpm.test8), NA(), IF( _xlpm.eval(_xlpm.test8), _xlpm.eval(_xlpm.value8), IF( _xlfn.ISOMITTED(_xlpm.test9), NA(), IF( _xlpm.eval(_xlpm.test9), _xlpm.eval(_xlpm.value9), IF( _xlfn.ISOMITTED(_xlpm.test10), NA(), IF( _xlpm.eval(_xlpm.test10), _xlpm.eval(_xlpm.value10), NA() ) ) ) ) ) ) ) ) ) ) ) ) ) ) ) ) ) ) ) ) ),
    _xlpm.getCell, _xlfn.LAMBDA(_xlpm.r,_xlpm.c, INDEX(_xlpm.r, _xlpm.getColNumber(_xlpm.c))),
    _xlpm.getNodeId, _xlfn.LAMBDA(_xlpm.r, _xlpm.getCell(_xlpm.r, "F")),
    _xlpm.getIoAddr, _xlfn.LAMBDA(_xlpm.r, _xlpm.getCell(_xlpm.r, "G")),
    _xlpm.getDesc1, _xlfn.LAMBDA(_xlpm.r, TRIM(CLEAN(_xlpm.getCell(_xlpm.r, "K")))),
    _xlpm.getDesc2, _xlfn.LAMBDA(_xlpm.r, TRIM(CLEAN(_xlpm.getCell(_xlpm.r, "L")))),
    _xlpm.getDescription, _xlfn.LAMBDA(_xlpm.r, _xlpm.getDesc1(_xlpm.r) &amp; " " &amp; _xlpm.getDesc2(_xlpm.r)),
    _xlpm.getIoType, _xlfn.LAMBDA(_xlpm.r, _xlpm.getCell(_xlpm.r, "R")),
    _xlpm.TypeFiltered, _xlfn.BYROW(
        _xlpm.IOTable,
        _xlfn.LAMBDA(_xlpm.r,
            _xlfn.LET(
                _xlpm.IoAddr, _xlpm.getIoAddr(_xlpm.r),
                _xlpm.InOutNode, IF(
                    ISNUMBER(SEARCH("i", _xlpm.IoAddr)),
                    "In",
                    IF(_xlfn.REGEXTEST(_xlpm.IoAddr, "O|Q", 1), "Out", IF(_xlpm.getNodeId(_xlpm.r) &gt; 0, "Node", ""))
                ),
                _xlpm.Desc1, _xlpm.getDesc1(_xlpm.r),
                _xlpm.Desc2, _xlpm.getDesc2(_xlpm.r),
                _xlpm.Description, _xlpm.Desc1 &amp; " " &amp; _xlpm.Desc2,
                IF(
                    _xlpm.InOutNode = "In",
                    _xlpm.ifsLazy(
                        _xlfn.LAMBDA(_xlfn.REGEXTEST(_xlpm.Description, "EMERGENCY PUSH.BUTTON PRES", 1)),
                        _xlfn.LAMBDA("E" &amp; RIGHT(_xlfn.REGEXEXTRACT(_xlpm.Desc2, "CH."), 1) &amp;"/2"),
                        _xlfn.LAMBDA(_xlfn.REGEXTEST(_xlpm.Description, "FEEDBACK.*SAFE.*(RELAY|CONTACTOR)", 1)),
                        "KI",
                        _xlfn.LAMBDA(_xlfn.REGEXTEST(_xlpm.Description, "DOOR.*OPEN", 1)),
                        _xlfn.LAMBDA(
                            _xlpm.ifsLazy(
                                _xlfn.LAMBDA(_xlfn.REGEXTEST(_xlpm.Desc2, "CH", 1)),
                                _xlfn.LAMBDA("DI" &amp; RIGHT(_xlfn.REGEXEXTRACT(_xlpm.Desc2, "CH."), 1) &amp;"/2"),
                                _xlfn.LAMBDA(_xlfn.REGEXTEST(_xlpm.Desc2, "RESET", 1)),
                                "DR",
                                TRUE,
                                "DD"
                            )
                        ),
                        _xlfn.LAMBDA(_xlfn.REGEXTEST(_xlpm.Description, "SAFETY ENCODER.*PHOTO", 1)),
                        _xlfn.LAMBDA("ENC" &amp; RIGHT(_xlfn.REGEXEXTRACT(_xlpm.Desc2, "CELL.\d"), 1) &amp;"/2"),
                        _xlfn.LAMBDA(_xlfn.REGEXTEST(_xlpm.Description, "SWITCH DISCONNECTOR.*OPEN", 1)),
                        _xlfn.LAMBDA("B" &amp; RIGHT(_xlfn.REGEXEXTRACT(_xlpm.Desc2, "CH."), 1) &amp;"/2"),
                        _xlfn.LAMBDA(_xlfn.REGEXTEST(_xlpm.Description, "EMERG.*RESET", 1)),
                        "RES",
                        _xlfn.LAMBDA(LEN(CLEAN(TRIM(_xlpm.Description))) &gt; 3),
                        _xlfn.LAMBDA(IF(_xlpm.getIoType(_xlpm.r) &lt;&gt; "", _xlpm.getIoType(_xlpm.r), "???")),
                        TRUE,
                        ""
                    ),
                    IF(
                        _xlpm.InOutNode = "Out",
                        _xlpm.ifsLazy(
                            _xlfn.LAMBDA(_xlfn.REGEXTEST(_xlpm.Desc1, "(SAFE.*(RELAY|CONTACTOR)|CUT.OFF.*AREA)", 1)),
                            "KQ",
                            _xlfn.LAMBDA(_xlfn.REGEXTEST(_xlpm.Desc1, "DOOR.*OPEN$|SOLENOID.*CONTROL", 1)),
                            "DQ",
                            _xlfn.LAMBDA(_xlfn.REGEXTEST(_xlpm.Desc2, "(SAFE.*(RELAY|CONTACTOR)|CUT.OFF.*AREA)", 1)),
                            "KQ",
                            _xlfn.LAMBDA(_xlfn.REGEXTEST(_xlpm.Description, "DOOR.*LAMP", 1)),
                            "DL",
                            _xlfn.LAMBDA(_xlfn.REGEXTEST(_xlpm.Desc2, "EMERGENCY AREA \d", 1)),
                            _xlfn.LAMBDA("FA" &amp; RIGHT(_xlfn.REGEXEXTRACT(_xlpm.Desc2, "AREA ."), 1)),
                            _xlfn.LAMBDA(LEN(CLEAN(TRIM(_xlpm.Description))) &gt; 3),
                            "???",
                            TRUE,
                            ""
                        ),
                        IF(_xlpm.InOutNode = "Node", TEXT(_xlpm.getIoType(_xlpm.r), ""))
                    )
                )
            )
        )
    ),
    _xlfn.VSTACK("Suggested Type", _xlpm.TypeFiltered)
)</f>
        <v>Suggested Type</v>
      </c>
      <c r="AD1" s="50" t="s">
        <v>336</v>
      </c>
      <c r="AE1" s="24" t="s">
        <v>337</v>
      </c>
      <c r="AF1" s="24" t="s">
        <v>338</v>
      </c>
      <c r="AG1" s="64" t="s">
        <v>439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5" cm="1">
        <f t="array" ref="AA2:AA138">_xlfn.BYROW(_xlfn._TRO_TRAILING(A2:X9236),
_xlfn.LAMBDA(_xlpm.r,
--[1]!HasStrikeThrough_NonVolatile(_xlpm.r) +
--(_xlfn.CHOOSECOLS(_xlpm.r, 24)="-") *2
))</f>
        <v>0</v>
      </c>
      <c r="AB2" s="45" t="s">
        <v>30</v>
      </c>
      <c r="AC2" s="48" t="str">
        <f ca="1"/>
        <v/>
      </c>
      <c r="AD2" s="51" t="s">
        <v>30</v>
      </c>
      <c r="AE2" s="42" t="s">
        <v>30</v>
      </c>
      <c r="AF2" s="51" t="s">
        <v>30</v>
      </c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5">
        <v>0</v>
      </c>
      <c r="AB3" s="45" t="s">
        <v>323</v>
      </c>
      <c r="AC3" s="49" t="str">
        <f ca="1"/>
        <v/>
      </c>
      <c r="AD3" s="56" t="s">
        <v>349</v>
      </c>
      <c r="AE3" s="42" t="s">
        <v>30</v>
      </c>
      <c r="AF3" s="51" t="s">
        <v>30</v>
      </c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438</v>
      </c>
      <c r="Y4" s="18"/>
      <c r="Z4" s="18"/>
      <c r="AA4" s="55">
        <v>2</v>
      </c>
      <c r="AB4" s="45" t="s">
        <v>30</v>
      </c>
      <c r="AC4" s="49" t="str">
        <f ca="1"/>
        <v/>
      </c>
      <c r="AD4" s="51" t="s">
        <v>30</v>
      </c>
      <c r="AE4" s="42" t="s">
        <v>30</v>
      </c>
      <c r="AF4" s="51" t="s">
        <v>30</v>
      </c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432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5">
        <v>0</v>
      </c>
      <c r="AB5" s="45" t="s">
        <v>432</v>
      </c>
      <c r="AC5" s="49" t="str">
        <f ca="1"/>
        <v>PW</v>
      </c>
      <c r="AD5" s="56" t="s">
        <v>349</v>
      </c>
      <c r="AE5" s="42" t="s">
        <v>350</v>
      </c>
      <c r="AF5" s="56" t="s">
        <v>483</v>
      </c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5">
        <v>0</v>
      </c>
      <c r="AB6" s="45" t="s">
        <v>31</v>
      </c>
      <c r="AC6" s="49" t="str">
        <f ca="1"/>
        <v>PA</v>
      </c>
      <c r="AD6" s="56" t="s">
        <v>349</v>
      </c>
      <c r="AE6" s="42" t="s">
        <v>350</v>
      </c>
      <c r="AF6" s="56" t="s">
        <v>484</v>
      </c>
    </row>
    <row r="7" spans="1:33" x14ac:dyDescent="0.25">
      <c r="A7" s="35"/>
      <c r="B7" s="35"/>
      <c r="C7" s="35"/>
      <c r="D7" s="20"/>
      <c r="E7" s="20"/>
      <c r="F7" s="20"/>
      <c r="G7" s="20" t="s">
        <v>391</v>
      </c>
      <c r="H7" s="20"/>
      <c r="I7" s="20"/>
      <c r="J7" s="20"/>
      <c r="K7" s="20" t="s">
        <v>445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5">
        <v>0</v>
      </c>
      <c r="AB7" s="45" t="s">
        <v>392</v>
      </c>
      <c r="AC7" s="49" t="b">
        <f ca="1"/>
        <v>0</v>
      </c>
      <c r="AD7" s="51" t="s">
        <v>435</v>
      </c>
      <c r="AE7" s="42" t="s">
        <v>30</v>
      </c>
      <c r="AF7" s="51" t="s">
        <v>30</v>
      </c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5">
        <v>0</v>
      </c>
      <c r="AB8" s="45" t="s">
        <v>31</v>
      </c>
      <c r="AC8" s="49" t="str">
        <f ca="1"/>
        <v>PA</v>
      </c>
      <c r="AD8" s="51" t="s">
        <v>354</v>
      </c>
      <c r="AE8" s="42" t="s">
        <v>355</v>
      </c>
      <c r="AF8" s="56" t="s">
        <v>483</v>
      </c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5">
        <v>0</v>
      </c>
      <c r="AB9" s="45" t="s">
        <v>30</v>
      </c>
      <c r="AC9" s="49" t="str">
        <f ca="1"/>
        <v/>
      </c>
      <c r="AD9" s="51" t="s">
        <v>30</v>
      </c>
      <c r="AE9" s="42" t="s">
        <v>30</v>
      </c>
      <c r="AF9" s="51" t="s">
        <v>30</v>
      </c>
      <c r="AG9" t="s">
        <v>440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5">
        <v>0</v>
      </c>
      <c r="AB10" s="45" t="s">
        <v>30</v>
      </c>
      <c r="AC10" s="49" t="str">
        <f ca="1"/>
        <v/>
      </c>
      <c r="AD10" s="51" t="s">
        <v>30</v>
      </c>
      <c r="AE10" s="42" t="s">
        <v>30</v>
      </c>
      <c r="AF10" s="51" t="s">
        <v>30</v>
      </c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5">
        <v>0</v>
      </c>
      <c r="AB11" s="45" t="s">
        <v>30</v>
      </c>
      <c r="AC11" s="49" t="str">
        <f ca="1"/>
        <v/>
      </c>
      <c r="AD11" s="51" t="s">
        <v>30</v>
      </c>
      <c r="AE11" s="42" t="s">
        <v>30</v>
      </c>
      <c r="AF11" s="51" t="s">
        <v>30</v>
      </c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5">
        <v>0</v>
      </c>
      <c r="AB12" s="45" t="s">
        <v>30</v>
      </c>
      <c r="AC12" s="49" t="str">
        <f ca="1"/>
        <v/>
      </c>
      <c r="AD12" s="51" t="s">
        <v>30</v>
      </c>
      <c r="AE12" s="42" t="s">
        <v>30</v>
      </c>
      <c r="AF12" s="51" t="s">
        <v>30</v>
      </c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5">
        <v>0</v>
      </c>
      <c r="AB13" s="45" t="s">
        <v>30</v>
      </c>
      <c r="AC13" s="49" t="str">
        <f ca="1"/>
        <v/>
      </c>
      <c r="AD13" s="51" t="s">
        <v>30</v>
      </c>
      <c r="AE13" s="42" t="s">
        <v>30</v>
      </c>
      <c r="AF13" s="51" t="s">
        <v>30</v>
      </c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5">
        <v>0</v>
      </c>
      <c r="AB14" s="45" t="s">
        <v>30</v>
      </c>
      <c r="AC14" s="49" t="str">
        <f ca="1"/>
        <v/>
      </c>
      <c r="AD14" s="51" t="s">
        <v>30</v>
      </c>
      <c r="AE14" s="42" t="s">
        <v>30</v>
      </c>
      <c r="AF14" s="51" t="s">
        <v>30</v>
      </c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5">
        <v>0</v>
      </c>
      <c r="AB15" s="45" t="s">
        <v>30</v>
      </c>
      <c r="AC15" s="49" t="str">
        <f ca="1"/>
        <v/>
      </c>
      <c r="AD15" s="51" t="s">
        <v>30</v>
      </c>
      <c r="AE15" s="42" t="s">
        <v>30</v>
      </c>
      <c r="AF15" s="51" t="s">
        <v>30</v>
      </c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5">
        <v>0</v>
      </c>
      <c r="AB16" s="45" t="s">
        <v>30</v>
      </c>
      <c r="AC16" s="49" t="str">
        <f ca="1"/>
        <v/>
      </c>
      <c r="AD16" s="51" t="s">
        <v>30</v>
      </c>
      <c r="AE16" s="42" t="s">
        <v>30</v>
      </c>
      <c r="AF16" s="51" t="s">
        <v>30</v>
      </c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5">
        <v>0</v>
      </c>
      <c r="AB17" s="45" t="s">
        <v>37</v>
      </c>
      <c r="AC17" s="49" t="str">
        <f ca="1"/>
        <v>A</v>
      </c>
      <c r="AD17" s="51" t="s">
        <v>349</v>
      </c>
      <c r="AE17" s="42" t="s">
        <v>355</v>
      </c>
      <c r="AF17" s="51" t="s">
        <v>353</v>
      </c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5">
        <v>0</v>
      </c>
      <c r="AB18" s="45" t="s">
        <v>37</v>
      </c>
      <c r="AC18" s="49" t="str">
        <f ca="1"/>
        <v>A</v>
      </c>
      <c r="AD18" s="51" t="s">
        <v>352</v>
      </c>
      <c r="AE18" s="42" t="s">
        <v>355</v>
      </c>
      <c r="AF18" s="51" t="s">
        <v>356</v>
      </c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5">
        <v>0</v>
      </c>
      <c r="AB19" s="45" t="s">
        <v>37</v>
      </c>
      <c r="AC19" s="49" t="str">
        <f ca="1"/>
        <v>A</v>
      </c>
      <c r="AD19" s="51" t="s">
        <v>354</v>
      </c>
      <c r="AE19" s="42" t="s">
        <v>355</v>
      </c>
      <c r="AF19" s="51" t="s">
        <v>357</v>
      </c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5">
        <v>0</v>
      </c>
      <c r="AB20" s="45" t="s">
        <v>37</v>
      </c>
      <c r="AC20" s="49" t="str">
        <f ca="1"/>
        <v>A</v>
      </c>
      <c r="AD20" s="51" t="s">
        <v>358</v>
      </c>
      <c r="AE20" s="42" t="s">
        <v>355</v>
      </c>
      <c r="AF20" s="51" t="s">
        <v>359</v>
      </c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5">
        <v>0</v>
      </c>
      <c r="AB21" s="45" t="s">
        <v>37</v>
      </c>
      <c r="AC21" s="49" t="str">
        <f ca="1"/>
        <v>A</v>
      </c>
      <c r="AD21" s="51" t="s">
        <v>360</v>
      </c>
      <c r="AE21" s="42" t="s">
        <v>355</v>
      </c>
      <c r="AF21" s="51" t="s">
        <v>361</v>
      </c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5">
        <v>0</v>
      </c>
      <c r="AB22" s="45" t="s">
        <v>37</v>
      </c>
      <c r="AC22" s="49" t="str">
        <f ca="1"/>
        <v>A</v>
      </c>
      <c r="AD22" s="51" t="s">
        <v>362</v>
      </c>
      <c r="AE22" s="42" t="s">
        <v>355</v>
      </c>
      <c r="AF22" s="51" t="s">
        <v>363</v>
      </c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5">
        <v>0</v>
      </c>
      <c r="AB23" s="45" t="s">
        <v>37</v>
      </c>
      <c r="AC23" s="49" t="str">
        <f ca="1"/>
        <v>A</v>
      </c>
      <c r="AD23" s="51" t="s">
        <v>364</v>
      </c>
      <c r="AE23" s="42" t="s">
        <v>355</v>
      </c>
      <c r="AF23" s="51" t="s">
        <v>365</v>
      </c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5">
        <v>0</v>
      </c>
      <c r="AB24" s="45" t="s">
        <v>30</v>
      </c>
      <c r="AC24" s="49" t="str">
        <f ca="1"/>
        <v/>
      </c>
      <c r="AD24" s="51" t="s">
        <v>30</v>
      </c>
      <c r="AE24" s="42" t="s">
        <v>30</v>
      </c>
      <c r="AF24" s="51" t="s">
        <v>30</v>
      </c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433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5">
        <v>0</v>
      </c>
      <c r="AB25" s="45" t="s">
        <v>433</v>
      </c>
      <c r="AC25" s="49" t="str">
        <f ca="1"/>
        <v>W</v>
      </c>
      <c r="AD25" s="51" t="s">
        <v>368</v>
      </c>
      <c r="AE25" s="42" t="s">
        <v>369</v>
      </c>
      <c r="AF25" s="51" t="s">
        <v>351</v>
      </c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433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5">
        <v>0</v>
      </c>
      <c r="AB26" s="45" t="s">
        <v>433</v>
      </c>
      <c r="AC26" s="49" t="str">
        <f ca="1"/>
        <v>W</v>
      </c>
      <c r="AD26" s="51" t="s">
        <v>370</v>
      </c>
      <c r="AE26" s="42" t="s">
        <v>369</v>
      </c>
      <c r="AF26" s="51" t="s">
        <v>353</v>
      </c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433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5">
        <v>0</v>
      </c>
      <c r="AB27" s="45" t="s">
        <v>433</v>
      </c>
      <c r="AC27" s="49" t="str">
        <f ca="1"/>
        <v>W</v>
      </c>
      <c r="AD27" s="51" t="s">
        <v>371</v>
      </c>
      <c r="AE27" s="42" t="s">
        <v>369</v>
      </c>
      <c r="AF27" s="51" t="s">
        <v>356</v>
      </c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433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5">
        <v>0</v>
      </c>
      <c r="AB28" s="45" t="s">
        <v>433</v>
      </c>
      <c r="AC28" s="49" t="str">
        <f ca="1"/>
        <v>W</v>
      </c>
      <c r="AD28" s="51" t="s">
        <v>372</v>
      </c>
      <c r="AE28" s="42" t="s">
        <v>369</v>
      </c>
      <c r="AF28" s="51" t="s">
        <v>357</v>
      </c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433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5">
        <v>0</v>
      </c>
      <c r="AB29" s="45" t="s">
        <v>433</v>
      </c>
      <c r="AC29" s="49" t="str">
        <f ca="1"/>
        <v>W</v>
      </c>
      <c r="AD29" s="51" t="s">
        <v>373</v>
      </c>
      <c r="AE29" s="42" t="s">
        <v>369</v>
      </c>
      <c r="AF29" s="51" t="s">
        <v>359</v>
      </c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5">
        <v>0</v>
      </c>
      <c r="AB30" s="45" t="s">
        <v>30</v>
      </c>
      <c r="AC30" s="49" t="str">
        <f ca="1"/>
        <v/>
      </c>
      <c r="AD30" s="51" t="s">
        <v>30</v>
      </c>
      <c r="AE30" s="42" t="s">
        <v>30</v>
      </c>
      <c r="AF30" s="51" t="s">
        <v>30</v>
      </c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5">
        <v>0</v>
      </c>
      <c r="AB31" s="45" t="s">
        <v>30</v>
      </c>
      <c r="AC31" s="49" t="str">
        <f ca="1"/>
        <v/>
      </c>
      <c r="AD31" s="51" t="s">
        <v>30</v>
      </c>
      <c r="AE31" s="42" t="s">
        <v>30</v>
      </c>
      <c r="AF31" s="51" t="s">
        <v>30</v>
      </c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5">
        <v>0</v>
      </c>
      <c r="AB32" s="45" t="s">
        <v>30</v>
      </c>
      <c r="AC32" s="49" t="str">
        <f ca="1"/>
        <v/>
      </c>
      <c r="AD32" s="51" t="s">
        <v>30</v>
      </c>
      <c r="AE32" s="42" t="s">
        <v>30</v>
      </c>
      <c r="AF32" s="51" t="s">
        <v>30</v>
      </c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5">
        <v>0</v>
      </c>
      <c r="AB33" s="45" t="s">
        <v>37</v>
      </c>
      <c r="AC33" s="49" t="str">
        <f ca="1"/>
        <v>A</v>
      </c>
      <c r="AD33" s="51" t="s">
        <v>374</v>
      </c>
      <c r="AE33" s="42" t="s">
        <v>375</v>
      </c>
      <c r="AF33" s="51" t="s">
        <v>351</v>
      </c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5">
        <v>0</v>
      </c>
      <c r="AB34" s="45" t="s">
        <v>37</v>
      </c>
      <c r="AC34" s="49" t="str">
        <f ca="1"/>
        <v>A</v>
      </c>
      <c r="AD34" s="51" t="s">
        <v>376</v>
      </c>
      <c r="AE34" s="42" t="s">
        <v>375</v>
      </c>
      <c r="AF34" s="51" t="s">
        <v>353</v>
      </c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5">
        <v>0</v>
      </c>
      <c r="AB35" s="45" t="s">
        <v>37</v>
      </c>
      <c r="AC35" s="49" t="str">
        <f ca="1"/>
        <v>A</v>
      </c>
      <c r="AD35" s="51" t="s">
        <v>377</v>
      </c>
      <c r="AE35" s="42" t="s">
        <v>375</v>
      </c>
      <c r="AF35" s="51" t="s">
        <v>356</v>
      </c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5">
        <v>0</v>
      </c>
      <c r="AB36" s="45" t="s">
        <v>37</v>
      </c>
      <c r="AC36" s="49" t="str">
        <f ca="1"/>
        <v>A</v>
      </c>
      <c r="AD36" s="51" t="s">
        <v>378</v>
      </c>
      <c r="AE36" s="42" t="s">
        <v>375</v>
      </c>
      <c r="AF36" s="51" t="s">
        <v>357</v>
      </c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5">
        <v>0</v>
      </c>
      <c r="AB37" s="45" t="s">
        <v>37</v>
      </c>
      <c r="AC37" s="49" t="str">
        <f ca="1"/>
        <v>A</v>
      </c>
      <c r="AD37" s="51" t="s">
        <v>379</v>
      </c>
      <c r="AE37" s="42" t="s">
        <v>375</v>
      </c>
      <c r="AF37" s="51" t="s">
        <v>359</v>
      </c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5">
        <v>0</v>
      </c>
      <c r="AB38" s="45" t="s">
        <v>30</v>
      </c>
      <c r="AC38" s="49" t="str">
        <f ca="1"/>
        <v/>
      </c>
      <c r="AD38" s="51" t="s">
        <v>30</v>
      </c>
      <c r="AE38" s="42" t="s">
        <v>30</v>
      </c>
      <c r="AF38" s="51" t="s">
        <v>30</v>
      </c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5">
        <v>0</v>
      </c>
      <c r="AB39" s="45" t="s">
        <v>30</v>
      </c>
      <c r="AC39" s="49" t="str">
        <f ca="1"/>
        <v/>
      </c>
      <c r="AD39" s="51" t="s">
        <v>30</v>
      </c>
      <c r="AE39" s="42" t="s">
        <v>30</v>
      </c>
      <c r="AF39" s="51" t="s">
        <v>30</v>
      </c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5">
        <v>0</v>
      </c>
      <c r="AB40" s="45" t="s">
        <v>30</v>
      </c>
      <c r="AC40" s="49" t="str">
        <f ca="1"/>
        <v/>
      </c>
      <c r="AD40" s="51" t="s">
        <v>30</v>
      </c>
      <c r="AE40" s="42" t="s">
        <v>30</v>
      </c>
      <c r="AF40" s="51" t="s">
        <v>30</v>
      </c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5">
        <v>0</v>
      </c>
      <c r="AB41" s="45" t="s">
        <v>469</v>
      </c>
      <c r="AC41" s="49" t="str">
        <f ca="1"/>
        <v>FA1</v>
      </c>
      <c r="AD41" s="51" t="s">
        <v>349</v>
      </c>
      <c r="AE41" s="59" t="s">
        <v>482</v>
      </c>
      <c r="AF41" s="56" t="s">
        <v>353</v>
      </c>
      <c r="AG41" t="s">
        <v>440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5">
        <v>0</v>
      </c>
      <c r="AB42" s="45" t="s">
        <v>470</v>
      </c>
      <c r="AC42" s="49" t="str">
        <f ca="1"/>
        <v>FA2</v>
      </c>
      <c r="AD42" s="51" t="s">
        <v>349</v>
      </c>
      <c r="AE42" s="59" t="s">
        <v>482</v>
      </c>
      <c r="AF42" s="56" t="s">
        <v>356</v>
      </c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5">
        <v>0</v>
      </c>
      <c r="AB43" s="45" t="s">
        <v>471</v>
      </c>
      <c r="AC43" s="49" t="str">
        <f ca="1"/>
        <v>FA3</v>
      </c>
      <c r="AD43" s="51" t="s">
        <v>349</v>
      </c>
      <c r="AE43" s="59" t="s">
        <v>482</v>
      </c>
      <c r="AF43" s="56" t="s">
        <v>357</v>
      </c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5">
        <v>0</v>
      </c>
      <c r="AB44" s="45" t="s">
        <v>30</v>
      </c>
      <c r="AC44" s="49" t="str">
        <f ca="1"/>
        <v/>
      </c>
      <c r="AD44" s="51" t="s">
        <v>30</v>
      </c>
      <c r="AE44" s="42" t="s">
        <v>30</v>
      </c>
      <c r="AF44" s="51" t="s">
        <v>30</v>
      </c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5">
        <v>0</v>
      </c>
      <c r="AB45" s="45" t="s">
        <v>30</v>
      </c>
      <c r="AC45" s="49" t="str">
        <f ca="1"/>
        <v/>
      </c>
      <c r="AD45" s="51" t="s">
        <v>30</v>
      </c>
      <c r="AE45" s="42" t="s">
        <v>30</v>
      </c>
      <c r="AF45" s="51" t="s">
        <v>30</v>
      </c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5">
        <v>0</v>
      </c>
      <c r="AB46" s="45" t="s">
        <v>30</v>
      </c>
      <c r="AC46" s="49" t="str">
        <f ca="1"/>
        <v/>
      </c>
      <c r="AD46" s="51" t="s">
        <v>30</v>
      </c>
      <c r="AE46" s="42" t="s">
        <v>30</v>
      </c>
      <c r="AF46" s="51" t="s">
        <v>30</v>
      </c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5">
        <v>0</v>
      </c>
      <c r="AB47" s="45" t="s">
        <v>30</v>
      </c>
      <c r="AC47" s="49" t="str">
        <f ca="1"/>
        <v/>
      </c>
      <c r="AD47" s="51" t="s">
        <v>30</v>
      </c>
      <c r="AE47" s="42" t="s">
        <v>30</v>
      </c>
      <c r="AF47" s="51" t="s">
        <v>30</v>
      </c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5">
        <v>0</v>
      </c>
      <c r="AB48" s="45" t="s">
        <v>30</v>
      </c>
      <c r="AC48" s="49" t="str">
        <f ca="1"/>
        <v/>
      </c>
      <c r="AD48" s="51" t="s">
        <v>30</v>
      </c>
      <c r="AE48" s="42" t="s">
        <v>30</v>
      </c>
      <c r="AF48" s="51" t="s">
        <v>30</v>
      </c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5">
        <v>0</v>
      </c>
      <c r="AB49" s="45" t="s">
        <v>30</v>
      </c>
      <c r="AC49" s="49" t="str">
        <f ca="1"/>
        <v/>
      </c>
      <c r="AD49" s="51" t="s">
        <v>30</v>
      </c>
      <c r="AE49" s="42" t="s">
        <v>30</v>
      </c>
      <c r="AF49" s="51" t="s">
        <v>30</v>
      </c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5">
        <v>0</v>
      </c>
      <c r="AB50" s="45" t="s">
        <v>30</v>
      </c>
      <c r="AC50" s="49" t="str">
        <f ca="1"/>
        <v/>
      </c>
      <c r="AD50" s="51" t="s">
        <v>30</v>
      </c>
      <c r="AE50" s="42" t="s">
        <v>30</v>
      </c>
      <c r="AF50" s="51" t="s">
        <v>30</v>
      </c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5">
        <v>0</v>
      </c>
      <c r="AB51" s="45" t="s">
        <v>30</v>
      </c>
      <c r="AC51" s="49" t="str">
        <f ca="1"/>
        <v/>
      </c>
      <c r="AD51" s="51" t="s">
        <v>30</v>
      </c>
      <c r="AE51" s="42" t="s">
        <v>30</v>
      </c>
      <c r="AF51" s="51" t="s">
        <v>30</v>
      </c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5">
        <v>0</v>
      </c>
      <c r="AB52" s="45" t="s">
        <v>30</v>
      </c>
      <c r="AC52" s="49" t="str">
        <f ca="1"/>
        <v/>
      </c>
      <c r="AD52" s="51" t="s">
        <v>30</v>
      </c>
      <c r="AE52" s="42" t="s">
        <v>30</v>
      </c>
      <c r="AF52" s="51" t="s">
        <v>30</v>
      </c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5">
        <v>0</v>
      </c>
      <c r="AB53" s="45" t="s">
        <v>30</v>
      </c>
      <c r="AC53" s="49" t="str">
        <f ca="1"/>
        <v/>
      </c>
      <c r="AD53" s="51" t="s">
        <v>30</v>
      </c>
      <c r="AE53" s="42" t="s">
        <v>30</v>
      </c>
      <c r="AF53" s="51" t="s">
        <v>30</v>
      </c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5">
        <v>0</v>
      </c>
      <c r="AB54" s="45" t="s">
        <v>30</v>
      </c>
      <c r="AC54" s="49" t="str">
        <f ca="1"/>
        <v/>
      </c>
      <c r="AD54" s="51" t="s">
        <v>30</v>
      </c>
      <c r="AE54" s="42" t="s">
        <v>30</v>
      </c>
      <c r="AF54" s="51" t="s">
        <v>30</v>
      </c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5">
        <v>0</v>
      </c>
      <c r="AB55" s="45" t="s">
        <v>30</v>
      </c>
      <c r="AC55" s="49" t="str">
        <f ca="1"/>
        <v/>
      </c>
      <c r="AD55" s="51" t="s">
        <v>30</v>
      </c>
      <c r="AE55" s="42" t="s">
        <v>30</v>
      </c>
      <c r="AF55" s="51" t="s">
        <v>30</v>
      </c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5">
        <v>0</v>
      </c>
      <c r="AB56" s="45" t="s">
        <v>30</v>
      </c>
      <c r="AC56" s="49" t="str">
        <f ca="1"/>
        <v/>
      </c>
      <c r="AD56" s="51" t="s">
        <v>30</v>
      </c>
      <c r="AE56" s="42" t="s">
        <v>30</v>
      </c>
      <c r="AF56" s="51" t="s">
        <v>30</v>
      </c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5">
        <v>0</v>
      </c>
      <c r="AB57" s="45" t="s">
        <v>339</v>
      </c>
      <c r="AC57" s="49" t="str">
        <f ca="1"/>
        <v>E1/2</v>
      </c>
      <c r="AD57" s="51" t="s">
        <v>349</v>
      </c>
      <c r="AE57" s="42" t="s">
        <v>382</v>
      </c>
      <c r="AF57" s="51" t="s">
        <v>351</v>
      </c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5">
        <v>0</v>
      </c>
      <c r="AB58" s="45" t="s">
        <v>340</v>
      </c>
      <c r="AC58" s="49" t="str">
        <f ca="1"/>
        <v>B1/2</v>
      </c>
      <c r="AD58" s="51" t="s">
        <v>349</v>
      </c>
      <c r="AE58" s="42" t="s">
        <v>383</v>
      </c>
      <c r="AF58" s="51" t="s">
        <v>351</v>
      </c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333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5">
        <v>0</v>
      </c>
      <c r="AB59" s="45" t="s">
        <v>475</v>
      </c>
      <c r="AC59" s="49" t="str">
        <f ca="1"/>
        <v>RES</v>
      </c>
      <c r="AD59" s="51" t="s">
        <v>349</v>
      </c>
      <c r="AE59" s="42" t="s">
        <v>30</v>
      </c>
      <c r="AF59" s="51" t="s">
        <v>30</v>
      </c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472</v>
      </c>
      <c r="L60" s="21" t="s">
        <v>29</v>
      </c>
      <c r="M60" s="20"/>
      <c r="N60" s="20"/>
      <c r="O60" s="28" t="s">
        <v>52</v>
      </c>
      <c r="P60" s="28" t="s">
        <v>199</v>
      </c>
      <c r="Q60" s="70" t="s">
        <v>485</v>
      </c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5">
        <v>0</v>
      </c>
      <c r="AB60" s="45" t="s">
        <v>473</v>
      </c>
      <c r="AC60" s="49" t="str">
        <f ca="1"/>
        <v>???</v>
      </c>
      <c r="AD60" s="56" t="s">
        <v>349</v>
      </c>
      <c r="AE60" s="59" t="s">
        <v>486</v>
      </c>
      <c r="AF60" s="56" t="s">
        <v>351</v>
      </c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5">
        <v>0</v>
      </c>
      <c r="AB61" s="45" t="s">
        <v>341</v>
      </c>
      <c r="AC61" s="49" t="str">
        <f ca="1"/>
        <v>E2/2</v>
      </c>
      <c r="AD61" s="51" t="s">
        <v>349</v>
      </c>
      <c r="AE61" s="42" t="s">
        <v>30</v>
      </c>
      <c r="AF61" s="51" t="s">
        <v>30</v>
      </c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5">
        <v>0</v>
      </c>
      <c r="AB62" s="45" t="s">
        <v>342</v>
      </c>
      <c r="AC62" s="49" t="str">
        <f ca="1"/>
        <v>B2/2</v>
      </c>
      <c r="AD62" s="51" t="s">
        <v>349</v>
      </c>
      <c r="AE62" s="42" t="s">
        <v>30</v>
      </c>
      <c r="AF62" s="51" t="s">
        <v>30</v>
      </c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333</v>
      </c>
      <c r="L63" s="20" t="s">
        <v>478</v>
      </c>
      <c r="M63" s="20"/>
      <c r="N63" s="20"/>
      <c r="O63" s="28" t="s">
        <v>52</v>
      </c>
      <c r="P63" s="28" t="s">
        <v>199</v>
      </c>
      <c r="Q63" s="28" t="s">
        <v>480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5">
        <v>0</v>
      </c>
      <c r="AB63" s="45" t="s">
        <v>479</v>
      </c>
      <c r="AC63" s="49" t="str">
        <f ca="1"/>
        <v>RES</v>
      </c>
      <c r="AD63" s="56" t="s">
        <v>352</v>
      </c>
      <c r="AE63" s="42" t="s">
        <v>30</v>
      </c>
      <c r="AF63" s="51" t="s">
        <v>30</v>
      </c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472</v>
      </c>
      <c r="L64" s="21" t="s">
        <v>220</v>
      </c>
      <c r="M64" s="22"/>
      <c r="N64" s="22"/>
      <c r="O64" s="29" t="s">
        <v>52</v>
      </c>
      <c r="P64" s="29" t="s">
        <v>199</v>
      </c>
      <c r="Q64" s="70" t="s">
        <v>485</v>
      </c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5">
        <v>0</v>
      </c>
      <c r="AB64" s="45" t="s">
        <v>474</v>
      </c>
      <c r="AC64" s="49" t="str">
        <f ca="1"/>
        <v>???</v>
      </c>
      <c r="AD64" s="51" t="s">
        <v>30</v>
      </c>
      <c r="AE64" s="42" t="s">
        <v>30</v>
      </c>
      <c r="AF64" s="51" t="s">
        <v>30</v>
      </c>
    </row>
    <row r="65" spans="1:33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5">
        <v>0</v>
      </c>
      <c r="AB65" s="45" t="s">
        <v>31</v>
      </c>
      <c r="AC65" s="49" t="str">
        <f ca="1"/>
        <v>PA</v>
      </c>
      <c r="AD65" s="51" t="s">
        <v>360</v>
      </c>
      <c r="AE65" s="42" t="s">
        <v>380</v>
      </c>
      <c r="AF65" s="56" t="s">
        <v>483</v>
      </c>
    </row>
    <row r="66" spans="1:33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446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5">
        <v>0</v>
      </c>
      <c r="AB66" s="45" t="s">
        <v>450</v>
      </c>
      <c r="AC66" s="49" t="str">
        <f ca="1"/>
        <v>KI</v>
      </c>
      <c r="AD66" s="21" t="s">
        <v>454</v>
      </c>
      <c r="AE66" s="42" t="s">
        <v>30</v>
      </c>
      <c r="AF66" s="51" t="s">
        <v>30</v>
      </c>
      <c r="AG66" t="s">
        <v>440</v>
      </c>
    </row>
    <row r="67" spans="1:33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449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5">
        <v>0</v>
      </c>
      <c r="AB67" s="45" t="s">
        <v>451</v>
      </c>
      <c r="AC67" s="49" t="str">
        <f ca="1"/>
        <v>KI</v>
      </c>
      <c r="AD67" s="21" t="s">
        <v>454</v>
      </c>
      <c r="AE67" s="42" t="s">
        <v>30</v>
      </c>
      <c r="AF67" s="51" t="s">
        <v>30</v>
      </c>
    </row>
    <row r="68" spans="1:33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447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5">
        <v>0</v>
      </c>
      <c r="AB68" s="45" t="s">
        <v>452</v>
      </c>
      <c r="AC68" s="49" t="str">
        <f ca="1"/>
        <v>KI</v>
      </c>
      <c r="AD68" s="21" t="s">
        <v>454</v>
      </c>
      <c r="AE68" s="42" t="s">
        <v>30</v>
      </c>
      <c r="AF68" s="51" t="s">
        <v>30</v>
      </c>
    </row>
    <row r="69" spans="1:33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448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5">
        <v>0</v>
      </c>
      <c r="AB69" s="45" t="s">
        <v>453</v>
      </c>
      <c r="AC69" s="49" t="str">
        <f ca="1"/>
        <v>KI</v>
      </c>
      <c r="AD69" s="21" t="s">
        <v>454</v>
      </c>
      <c r="AE69" s="42" t="s">
        <v>30</v>
      </c>
      <c r="AF69" s="51" t="s">
        <v>30</v>
      </c>
    </row>
    <row r="70" spans="1:33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5">
        <v>0</v>
      </c>
      <c r="AB70" s="45" t="s">
        <v>30</v>
      </c>
      <c r="AC70" s="49" t="str">
        <f ca="1"/>
        <v/>
      </c>
      <c r="AD70" s="51" t="s">
        <v>30</v>
      </c>
      <c r="AE70" s="42" t="s">
        <v>30</v>
      </c>
      <c r="AF70" s="51" t="s">
        <v>30</v>
      </c>
    </row>
    <row r="71" spans="1:33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5">
        <v>0</v>
      </c>
      <c r="AB71" s="45" t="s">
        <v>30</v>
      </c>
      <c r="AC71" s="49" t="str">
        <f ca="1"/>
        <v/>
      </c>
      <c r="AD71" s="51" t="s">
        <v>30</v>
      </c>
      <c r="AE71" s="42" t="s">
        <v>30</v>
      </c>
      <c r="AF71" s="51" t="s">
        <v>30</v>
      </c>
    </row>
    <row r="72" spans="1:33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5">
        <v>0</v>
      </c>
      <c r="AB72" s="45" t="s">
        <v>30</v>
      </c>
      <c r="AC72" s="49" t="str">
        <f ca="1"/>
        <v/>
      </c>
      <c r="AD72" s="51" t="s">
        <v>30</v>
      </c>
      <c r="AE72" s="42" t="s">
        <v>30</v>
      </c>
      <c r="AF72" s="51" t="s">
        <v>30</v>
      </c>
    </row>
    <row r="73" spans="1:33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5">
        <v>0</v>
      </c>
      <c r="AB73" s="45" t="s">
        <v>30</v>
      </c>
      <c r="AC73" s="49" t="str">
        <f ca="1"/>
        <v/>
      </c>
      <c r="AD73" s="51" t="s">
        <v>30</v>
      </c>
      <c r="AE73" s="42" t="s">
        <v>30</v>
      </c>
      <c r="AF73" s="51" t="s">
        <v>30</v>
      </c>
    </row>
    <row r="74" spans="1:33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5">
        <v>0</v>
      </c>
      <c r="AB74" s="45" t="s">
        <v>334</v>
      </c>
      <c r="AC74" s="49" t="str">
        <f ca="1"/>
        <v>KI</v>
      </c>
      <c r="AD74" s="51" t="s">
        <v>349</v>
      </c>
      <c r="AE74" s="19"/>
      <c r="AF74" s="19"/>
    </row>
    <row r="75" spans="1:33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5">
        <v>0</v>
      </c>
      <c r="AB75" s="45" t="s">
        <v>334</v>
      </c>
      <c r="AC75" s="49" t="str">
        <f ca="1"/>
        <v>KI</v>
      </c>
      <c r="AD75" s="51" t="s">
        <v>352</v>
      </c>
      <c r="AE75" s="19"/>
      <c r="AF75" s="19"/>
    </row>
    <row r="76" spans="1:33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5">
        <v>0</v>
      </c>
      <c r="AB76" s="45" t="s">
        <v>30</v>
      </c>
      <c r="AC76" s="49" t="str">
        <f ca="1"/>
        <v/>
      </c>
      <c r="AD76" s="51" t="s">
        <v>30</v>
      </c>
      <c r="AE76" s="42" t="s">
        <v>30</v>
      </c>
      <c r="AF76" s="51" t="s">
        <v>30</v>
      </c>
    </row>
    <row r="77" spans="1:33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5">
        <v>0</v>
      </c>
      <c r="AB77" s="45" t="s">
        <v>30</v>
      </c>
      <c r="AC77" s="49" t="str">
        <f ca="1"/>
        <v/>
      </c>
      <c r="AD77" s="51" t="s">
        <v>30</v>
      </c>
      <c r="AE77" s="42" t="s">
        <v>30</v>
      </c>
      <c r="AF77" s="51" t="s">
        <v>30</v>
      </c>
    </row>
    <row r="78" spans="1:33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5">
        <v>0</v>
      </c>
      <c r="AB78" s="45" t="s">
        <v>30</v>
      </c>
      <c r="AC78" s="49" t="str">
        <f ca="1"/>
        <v/>
      </c>
      <c r="AD78" s="51" t="s">
        <v>30</v>
      </c>
      <c r="AE78" s="42" t="s">
        <v>30</v>
      </c>
      <c r="AF78" s="51" t="s">
        <v>30</v>
      </c>
    </row>
    <row r="79" spans="1:33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5">
        <v>0</v>
      </c>
      <c r="AB79" s="45" t="s">
        <v>30</v>
      </c>
      <c r="AC79" s="49" t="str">
        <f ca="1"/>
        <v/>
      </c>
      <c r="AD79" s="51" t="s">
        <v>30</v>
      </c>
      <c r="AE79" s="42" t="s">
        <v>30</v>
      </c>
      <c r="AF79" s="51" t="s">
        <v>30</v>
      </c>
    </row>
    <row r="80" spans="1:33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345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5">
        <v>0</v>
      </c>
      <c r="AB80" s="45" t="s">
        <v>476</v>
      </c>
      <c r="AC80" s="49" t="str">
        <f ca="1"/>
        <v>ENC1/2</v>
      </c>
      <c r="AD80" s="51" t="s">
        <v>349</v>
      </c>
      <c r="AE80" s="42" t="s">
        <v>384</v>
      </c>
      <c r="AF80" s="51" t="s">
        <v>351</v>
      </c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346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5">
        <v>0</v>
      </c>
      <c r="AB81" s="45" t="s">
        <v>477</v>
      </c>
      <c r="AC81" s="49" t="str">
        <f ca="1"/>
        <v>ENC2/2</v>
      </c>
      <c r="AD81" s="51" t="s">
        <v>349</v>
      </c>
      <c r="AE81" s="42" t="s">
        <v>384</v>
      </c>
      <c r="AF81" s="51" t="s">
        <v>353</v>
      </c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5">
        <v>0</v>
      </c>
      <c r="AB82" s="45" t="s">
        <v>331</v>
      </c>
      <c r="AC82" s="49" t="str">
        <f ca="1"/>
        <v>DL</v>
      </c>
      <c r="AD82" s="51" t="s">
        <v>349</v>
      </c>
      <c r="AE82" s="42" t="s">
        <v>30</v>
      </c>
      <c r="AF82" s="51" t="s">
        <v>30</v>
      </c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5">
        <v>0</v>
      </c>
      <c r="AB83" s="45" t="s">
        <v>331</v>
      </c>
      <c r="AC83" s="49" t="str">
        <f ca="1"/>
        <v>DL</v>
      </c>
      <c r="AD83" s="51" t="s">
        <v>352</v>
      </c>
      <c r="AE83" s="42" t="s">
        <v>30</v>
      </c>
      <c r="AF83" s="51" t="s">
        <v>30</v>
      </c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5">
        <v>0</v>
      </c>
      <c r="AB84" s="45" t="s">
        <v>30</v>
      </c>
      <c r="AC84" s="49" t="str">
        <f ca="1"/>
        <v/>
      </c>
      <c r="AD84" s="51" t="s">
        <v>30</v>
      </c>
      <c r="AE84" s="42" t="s">
        <v>30</v>
      </c>
      <c r="AF84" s="51" t="s">
        <v>30</v>
      </c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5">
        <v>0</v>
      </c>
      <c r="AB85" s="45" t="s">
        <v>30</v>
      </c>
      <c r="AC85" s="49" t="str">
        <f ca="1"/>
        <v/>
      </c>
      <c r="AD85" s="51" t="s">
        <v>30</v>
      </c>
      <c r="AE85" s="42" t="s">
        <v>30</v>
      </c>
      <c r="AF85" s="51" t="s">
        <v>30</v>
      </c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5">
        <v>0</v>
      </c>
      <c r="AB86" s="45" t="s">
        <v>30</v>
      </c>
      <c r="AC86" s="49" t="str">
        <f ca="1"/>
        <v/>
      </c>
      <c r="AD86" s="51" t="s">
        <v>30</v>
      </c>
      <c r="AE86" s="42" t="s">
        <v>30</v>
      </c>
      <c r="AF86" s="51" t="s">
        <v>30</v>
      </c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5">
        <v>0</v>
      </c>
      <c r="AB87" s="45" t="s">
        <v>30</v>
      </c>
      <c r="AC87" s="49" t="str">
        <f ca="1"/>
        <v/>
      </c>
      <c r="AD87" s="51" t="s">
        <v>30</v>
      </c>
      <c r="AE87" s="42" t="s">
        <v>30</v>
      </c>
      <c r="AF87" s="51" t="s">
        <v>30</v>
      </c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5">
        <v>0</v>
      </c>
      <c r="AB88" s="45" t="s">
        <v>30</v>
      </c>
      <c r="AC88" s="49" t="str">
        <f ca="1"/>
        <v/>
      </c>
      <c r="AD88" s="51" t="s">
        <v>30</v>
      </c>
      <c r="AE88" s="42" t="s">
        <v>30</v>
      </c>
      <c r="AF88" s="51" t="s">
        <v>30</v>
      </c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5">
        <v>0</v>
      </c>
      <c r="AB89" s="45" t="s">
        <v>30</v>
      </c>
      <c r="AC89" s="49" t="str">
        <f ca="1"/>
        <v/>
      </c>
      <c r="AD89" s="51" t="s">
        <v>30</v>
      </c>
      <c r="AE89" s="42" t="s">
        <v>30</v>
      </c>
      <c r="AF89" s="51" t="s">
        <v>30</v>
      </c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5">
        <v>0</v>
      </c>
      <c r="AB90" s="45" t="s">
        <v>30</v>
      </c>
      <c r="AC90" s="49" t="str">
        <f ca="1"/>
        <v/>
      </c>
      <c r="AD90" s="51" t="s">
        <v>30</v>
      </c>
      <c r="AE90" s="42" t="s">
        <v>30</v>
      </c>
      <c r="AF90" s="51" t="s">
        <v>30</v>
      </c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5">
        <v>0</v>
      </c>
      <c r="AB91" s="45" t="s">
        <v>30</v>
      </c>
      <c r="AC91" s="49" t="str">
        <f ca="1"/>
        <v/>
      </c>
      <c r="AD91" s="51" t="s">
        <v>30</v>
      </c>
      <c r="AE91" s="42" t="s">
        <v>30</v>
      </c>
      <c r="AF91" s="51" t="s">
        <v>30</v>
      </c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5">
        <v>0</v>
      </c>
      <c r="AB92" s="45" t="s">
        <v>30</v>
      </c>
      <c r="AC92" s="49" t="str">
        <f ca="1"/>
        <v/>
      </c>
      <c r="AD92" s="51" t="s">
        <v>30</v>
      </c>
      <c r="AE92" s="42" t="s">
        <v>30</v>
      </c>
      <c r="AF92" s="51" t="s">
        <v>30</v>
      </c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5">
        <v>0</v>
      </c>
      <c r="AB93" s="45" t="s">
        <v>30</v>
      </c>
      <c r="AC93" s="49" t="str">
        <f ca="1"/>
        <v/>
      </c>
      <c r="AD93" s="51" t="s">
        <v>30</v>
      </c>
      <c r="AE93" s="42" t="s">
        <v>30</v>
      </c>
      <c r="AF93" s="51" t="s">
        <v>30</v>
      </c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5">
        <v>0</v>
      </c>
      <c r="AB94" s="45" t="s">
        <v>30</v>
      </c>
      <c r="AC94" s="49" t="str">
        <f ca="1"/>
        <v/>
      </c>
      <c r="AD94" s="51" t="s">
        <v>30</v>
      </c>
      <c r="AE94" s="42" t="s">
        <v>30</v>
      </c>
      <c r="AF94" s="51" t="s">
        <v>30</v>
      </c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5">
        <v>0</v>
      </c>
      <c r="AB95" s="45" t="s">
        <v>30</v>
      </c>
      <c r="AC95" s="49" t="str">
        <f ca="1"/>
        <v/>
      </c>
      <c r="AD95" s="51" t="s">
        <v>30</v>
      </c>
      <c r="AE95" s="42" t="s">
        <v>30</v>
      </c>
      <c r="AF95" s="51" t="s">
        <v>30</v>
      </c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5">
        <v>0</v>
      </c>
      <c r="AB96" s="45" t="s">
        <v>30</v>
      </c>
      <c r="AC96" s="49" t="str">
        <f ca="1"/>
        <v/>
      </c>
      <c r="AD96" s="51" t="s">
        <v>30</v>
      </c>
      <c r="AE96" s="42" t="s">
        <v>30</v>
      </c>
      <c r="AF96" s="51" t="s">
        <v>30</v>
      </c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5">
        <v>0</v>
      </c>
      <c r="AB97" s="45" t="s">
        <v>30</v>
      </c>
      <c r="AC97" s="49" t="str">
        <f ca="1"/>
        <v/>
      </c>
      <c r="AD97" s="51" t="s">
        <v>30</v>
      </c>
      <c r="AE97" s="42" t="s">
        <v>30</v>
      </c>
      <c r="AF97" s="51" t="s">
        <v>30</v>
      </c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328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5">
        <v>0</v>
      </c>
      <c r="AB98" s="45" t="s">
        <v>339</v>
      </c>
      <c r="AC98" s="49" t="str">
        <f ca="1"/>
        <v>E1/2</v>
      </c>
      <c r="AD98" s="51" t="s">
        <v>352</v>
      </c>
      <c r="AE98" s="42" t="s">
        <v>382</v>
      </c>
      <c r="AF98" s="51" t="s">
        <v>353</v>
      </c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389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5"/>
      <c r="W99" s="20"/>
      <c r="X99" s="20"/>
      <c r="Y99" s="20"/>
      <c r="Z99" s="20"/>
      <c r="AA99" s="55">
        <v>1</v>
      </c>
      <c r="AB99" s="45" t="s">
        <v>339</v>
      </c>
      <c r="AC99" s="49" t="str">
        <f ca="1"/>
        <v>E1/2</v>
      </c>
      <c r="AD99" s="51" t="s">
        <v>381</v>
      </c>
      <c r="AE99" s="42" t="s">
        <v>382</v>
      </c>
      <c r="AF99" s="51" t="s">
        <v>385</v>
      </c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6"/>
      <c r="W100" s="20"/>
      <c r="X100" s="20"/>
      <c r="Y100" s="20"/>
      <c r="Z100" s="20"/>
      <c r="AA100" s="55">
        <v>0</v>
      </c>
      <c r="AB100" s="45" t="s">
        <v>30</v>
      </c>
      <c r="AC100" s="49" t="str">
        <f ca="1"/>
        <v/>
      </c>
      <c r="AD100" s="51" t="s">
        <v>30</v>
      </c>
      <c r="AE100" s="42" t="s">
        <v>30</v>
      </c>
      <c r="AF100" s="51" t="s">
        <v>30</v>
      </c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5">
        <v>0</v>
      </c>
      <c r="AB101" s="45" t="s">
        <v>30</v>
      </c>
      <c r="AC101" s="49" t="str">
        <f ca="1"/>
        <v/>
      </c>
      <c r="AD101" s="51" t="s">
        <v>30</v>
      </c>
      <c r="AE101" s="42" t="s">
        <v>30</v>
      </c>
      <c r="AF101" s="51" t="s">
        <v>30</v>
      </c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329</v>
      </c>
      <c r="M102" s="20"/>
      <c r="N102" s="20"/>
      <c r="O102" s="28" t="s">
        <v>52</v>
      </c>
      <c r="P102" s="28" t="s">
        <v>200</v>
      </c>
      <c r="Q102" s="67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5">
        <v>0</v>
      </c>
      <c r="AB102" s="45" t="s">
        <v>341</v>
      </c>
      <c r="AC102" s="49" t="str">
        <f ca="1"/>
        <v>E2/2</v>
      </c>
      <c r="AD102" s="51" t="s">
        <v>352</v>
      </c>
      <c r="AE102" s="42" t="s">
        <v>30</v>
      </c>
      <c r="AF102" s="51" t="s">
        <v>30</v>
      </c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390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5">
        <v>1</v>
      </c>
      <c r="AB103" s="45" t="s">
        <v>341</v>
      </c>
      <c r="AC103" s="49" t="str">
        <f ca="1"/>
        <v>E2/2</v>
      </c>
      <c r="AD103" s="51" t="s">
        <v>381</v>
      </c>
      <c r="AE103" s="42" t="s">
        <v>30</v>
      </c>
      <c r="AF103" s="51" t="s">
        <v>30</v>
      </c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5">
        <v>0</v>
      </c>
      <c r="AB104" s="45" t="s">
        <v>30</v>
      </c>
      <c r="AC104" s="49" t="str">
        <f ca="1"/>
        <v/>
      </c>
      <c r="AD104" s="51" t="s">
        <v>30</v>
      </c>
      <c r="AE104" s="42" t="s">
        <v>30</v>
      </c>
      <c r="AF104" s="51" t="s">
        <v>30</v>
      </c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5">
        <v>0</v>
      </c>
      <c r="AB105" s="45" t="s">
        <v>30</v>
      </c>
      <c r="AC105" s="49" t="str">
        <f ca="1"/>
        <v/>
      </c>
      <c r="AD105" s="51" t="s">
        <v>30</v>
      </c>
      <c r="AE105" s="42" t="s">
        <v>30</v>
      </c>
      <c r="AF105" s="51" t="s">
        <v>30</v>
      </c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441</v>
      </c>
      <c r="Q106" s="37" t="s">
        <v>442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5">
        <v>0</v>
      </c>
      <c r="AB106" s="45" t="s">
        <v>343</v>
      </c>
      <c r="AC106" s="49" t="str">
        <f ca="1"/>
        <v>DI1/2</v>
      </c>
      <c r="AD106" s="51" t="s">
        <v>349</v>
      </c>
      <c r="AE106" s="59" t="s">
        <v>431</v>
      </c>
      <c r="AF106" s="51" t="s">
        <v>353</v>
      </c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441</v>
      </c>
      <c r="Q107" s="37" t="s">
        <v>442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5">
        <v>0</v>
      </c>
      <c r="AB107" s="45" t="s">
        <v>335</v>
      </c>
      <c r="AC107" s="49" t="str">
        <f ca="1"/>
        <v>DD</v>
      </c>
      <c r="AD107" s="51" t="s">
        <v>349</v>
      </c>
      <c r="AE107" s="59" t="s">
        <v>431</v>
      </c>
      <c r="AF107" s="51" t="s">
        <v>356</v>
      </c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443</v>
      </c>
      <c r="Q108" s="37" t="s">
        <v>442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5">
        <v>0</v>
      </c>
      <c r="AB108" s="45" t="s">
        <v>343</v>
      </c>
      <c r="AC108" s="49" t="str">
        <f ca="1"/>
        <v>DI1/2</v>
      </c>
      <c r="AD108" s="51" t="s">
        <v>352</v>
      </c>
      <c r="AE108" s="59" t="s">
        <v>431</v>
      </c>
      <c r="AF108" s="51" t="s">
        <v>357</v>
      </c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443</v>
      </c>
      <c r="Q109" s="37" t="s">
        <v>442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5">
        <v>0</v>
      </c>
      <c r="AB109" s="45" t="s">
        <v>335</v>
      </c>
      <c r="AC109" s="49" t="str">
        <f ca="1"/>
        <v>DD</v>
      </c>
      <c r="AD109" s="51" t="s">
        <v>352</v>
      </c>
      <c r="AE109" s="59" t="s">
        <v>431</v>
      </c>
      <c r="AF109" s="51" t="s">
        <v>359</v>
      </c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441</v>
      </c>
      <c r="Q110" s="37" t="s">
        <v>442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5">
        <v>0</v>
      </c>
      <c r="AB110" s="45" t="s">
        <v>344</v>
      </c>
      <c r="AC110" s="49" t="str">
        <f ca="1"/>
        <v>DI2/2</v>
      </c>
      <c r="AD110" s="51" t="s">
        <v>349</v>
      </c>
      <c r="AE110" s="42" t="s">
        <v>30</v>
      </c>
      <c r="AF110" s="51" t="s">
        <v>30</v>
      </c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5">
        <v>0</v>
      </c>
      <c r="AB111" s="45" t="s">
        <v>332</v>
      </c>
      <c r="AC111" s="49" t="str">
        <f ca="1"/>
        <v>DR</v>
      </c>
      <c r="AD111" s="51" t="s">
        <v>349</v>
      </c>
      <c r="AE111" s="42" t="s">
        <v>30</v>
      </c>
      <c r="AF111" s="51" t="s">
        <v>30</v>
      </c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443</v>
      </c>
      <c r="Q112" s="37" t="s">
        <v>442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5">
        <v>0</v>
      </c>
      <c r="AB112" s="45" t="s">
        <v>344</v>
      </c>
      <c r="AC112" s="49" t="str">
        <f ca="1"/>
        <v>DI2/2</v>
      </c>
      <c r="AD112" s="51" t="s">
        <v>352</v>
      </c>
      <c r="AE112" s="42" t="s">
        <v>30</v>
      </c>
      <c r="AF112" s="51" t="s">
        <v>30</v>
      </c>
    </row>
    <row r="113" spans="1:33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5">
        <v>0</v>
      </c>
      <c r="AB113" s="45" t="s">
        <v>332</v>
      </c>
      <c r="AC113" s="49" t="str">
        <f ca="1"/>
        <v>DR</v>
      </c>
      <c r="AD113" s="51" t="s">
        <v>352</v>
      </c>
      <c r="AE113" s="42" t="s">
        <v>30</v>
      </c>
      <c r="AF113" s="51" t="s">
        <v>30</v>
      </c>
    </row>
    <row r="114" spans="1:33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5">
        <v>0</v>
      </c>
      <c r="AB114" s="45" t="s">
        <v>327</v>
      </c>
      <c r="AC114" s="49" t="str">
        <f ca="1"/>
        <v>KQ</v>
      </c>
      <c r="AD114" s="51" t="s">
        <v>349</v>
      </c>
      <c r="AE114" s="42" t="s">
        <v>380</v>
      </c>
      <c r="AF114" s="51" t="s">
        <v>366</v>
      </c>
      <c r="AG114" t="s">
        <v>440</v>
      </c>
    </row>
    <row r="115" spans="1:33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5">
        <v>0</v>
      </c>
      <c r="AB115" s="45" t="s">
        <v>327</v>
      </c>
      <c r="AC115" s="49" t="str">
        <f ca="1"/>
        <v>KQ</v>
      </c>
      <c r="AD115" s="51" t="s">
        <v>352</v>
      </c>
      <c r="AE115" s="42" t="s">
        <v>380</v>
      </c>
      <c r="AF115" s="51" t="s">
        <v>367</v>
      </c>
    </row>
    <row r="116" spans="1:33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5">
        <v>0</v>
      </c>
      <c r="AB116" s="45" t="s">
        <v>330</v>
      </c>
      <c r="AC116" s="49" t="str">
        <f ca="1"/>
        <v>DQ</v>
      </c>
      <c r="AD116" s="51" t="s">
        <v>349</v>
      </c>
      <c r="AE116" s="42" t="s">
        <v>30</v>
      </c>
      <c r="AF116" s="51" t="s">
        <v>30</v>
      </c>
    </row>
    <row r="117" spans="1:33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5">
        <v>0</v>
      </c>
      <c r="AB117" s="45" t="s">
        <v>330</v>
      </c>
      <c r="AC117" s="49" t="str">
        <f ca="1"/>
        <v>DQ</v>
      </c>
      <c r="AD117" s="51" t="s">
        <v>352</v>
      </c>
      <c r="AE117" s="42" t="s">
        <v>30</v>
      </c>
      <c r="AF117" s="51" t="s">
        <v>30</v>
      </c>
    </row>
    <row r="118" spans="1:33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455</v>
      </c>
      <c r="H118" s="20"/>
      <c r="I118" s="20"/>
      <c r="J118" s="19" t="s">
        <v>266</v>
      </c>
      <c r="K118" s="20" t="s">
        <v>308</v>
      </c>
      <c r="L118" s="28"/>
      <c r="M118" s="20"/>
      <c r="N118" s="20"/>
      <c r="O118" s="28" t="s">
        <v>52</v>
      </c>
      <c r="P118" s="28" t="s">
        <v>200</v>
      </c>
      <c r="Q118" s="28" t="s">
        <v>446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5">
        <v>0</v>
      </c>
      <c r="AB118" s="45" t="s">
        <v>327</v>
      </c>
      <c r="AC118" s="49" t="str">
        <f ca="1"/>
        <v>KQ</v>
      </c>
      <c r="AD118" s="56" t="s">
        <v>454</v>
      </c>
      <c r="AE118" s="59" t="s">
        <v>380</v>
      </c>
      <c r="AF118" s="51">
        <v>22</v>
      </c>
    </row>
    <row r="119" spans="1:33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456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5">
        <v>0</v>
      </c>
      <c r="AB119" s="45"/>
      <c r="AC119" s="49" t="str">
        <f ca="1"/>
        <v/>
      </c>
      <c r="AD119" s="51"/>
      <c r="AE119" s="42"/>
      <c r="AF119" s="51"/>
    </row>
    <row r="120" spans="1:33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457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5">
        <v>0</v>
      </c>
      <c r="AB120" s="45"/>
      <c r="AC120" s="49" t="str">
        <f ca="1"/>
        <v/>
      </c>
      <c r="AD120" s="51"/>
      <c r="AE120" s="42"/>
      <c r="AF120" s="51"/>
    </row>
    <row r="121" spans="1:33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458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5">
        <v>0</v>
      </c>
      <c r="AB121" s="45"/>
      <c r="AC121" s="49" t="str">
        <f ca="1"/>
        <v/>
      </c>
      <c r="AD121" s="51"/>
      <c r="AE121" s="42"/>
      <c r="AF121" s="51"/>
    </row>
    <row r="122" spans="1:33" x14ac:dyDescent="0.25">
      <c r="A122" s="18" t="s">
        <v>394</v>
      </c>
      <c r="B122" s="18" t="s">
        <v>395</v>
      </c>
      <c r="C122" s="18" t="s">
        <v>396</v>
      </c>
      <c r="D122" s="18" t="s">
        <v>397</v>
      </c>
      <c r="E122" s="30" t="s">
        <v>398</v>
      </c>
      <c r="F122" s="18" t="s">
        <v>399</v>
      </c>
      <c r="G122" s="30"/>
      <c r="H122" s="18"/>
      <c r="I122" s="18" t="s">
        <v>400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401</v>
      </c>
      <c r="Q122" s="18" t="s">
        <v>398</v>
      </c>
      <c r="R122" s="18" t="s">
        <v>31</v>
      </c>
      <c r="S122" s="18" t="s">
        <v>311</v>
      </c>
      <c r="T122" s="30" t="s">
        <v>402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5">
        <v>0</v>
      </c>
      <c r="AB122" s="45" t="s">
        <v>31</v>
      </c>
      <c r="AC122" s="49" t="str">
        <f ca="1"/>
        <v>PA</v>
      </c>
      <c r="AD122" s="51" t="s">
        <v>374</v>
      </c>
      <c r="AE122" s="42" t="s">
        <v>403</v>
      </c>
      <c r="AF122" s="56" t="s">
        <v>483</v>
      </c>
    </row>
    <row r="123" spans="1:33" x14ac:dyDescent="0.25">
      <c r="A123" s="20" t="s">
        <v>404</v>
      </c>
      <c r="B123" s="20" t="s">
        <v>395</v>
      </c>
      <c r="C123" s="20" t="s">
        <v>396</v>
      </c>
      <c r="D123" s="20" t="s">
        <v>397</v>
      </c>
      <c r="E123" s="20" t="s">
        <v>398</v>
      </c>
      <c r="F123" s="20"/>
      <c r="G123" s="57" t="s">
        <v>405</v>
      </c>
      <c r="H123" s="20" t="s">
        <v>1</v>
      </c>
      <c r="I123" s="20" t="s">
        <v>406</v>
      </c>
      <c r="J123" s="20" t="s">
        <v>407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5">
        <v>0</v>
      </c>
      <c r="AB123" s="45"/>
      <c r="AC123" s="49" t="str">
        <f ca="1"/>
        <v/>
      </c>
      <c r="AD123" s="51"/>
      <c r="AE123" s="42"/>
      <c r="AF123" s="51"/>
    </row>
    <row r="124" spans="1:33" x14ac:dyDescent="0.25">
      <c r="A124" s="20" t="s">
        <v>404</v>
      </c>
      <c r="B124" s="20" t="s">
        <v>395</v>
      </c>
      <c r="C124" s="20" t="s">
        <v>396</v>
      </c>
      <c r="D124" s="20" t="s">
        <v>397</v>
      </c>
      <c r="E124" s="20" t="s">
        <v>398</v>
      </c>
      <c r="F124" s="20"/>
      <c r="G124" s="57" t="s">
        <v>408</v>
      </c>
      <c r="H124" s="20" t="s">
        <v>1</v>
      </c>
      <c r="I124" s="20" t="s">
        <v>406</v>
      </c>
      <c r="J124" s="20" t="s">
        <v>409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5">
        <v>0</v>
      </c>
      <c r="AB124" s="45"/>
      <c r="AC124" s="49" t="str">
        <f ca="1"/>
        <v/>
      </c>
      <c r="AD124" s="51"/>
      <c r="AE124" s="42"/>
      <c r="AF124" s="51"/>
    </row>
    <row r="125" spans="1:33" x14ac:dyDescent="0.25">
      <c r="A125" s="20" t="s">
        <v>404</v>
      </c>
      <c r="B125" s="20" t="s">
        <v>395</v>
      </c>
      <c r="C125" s="20" t="s">
        <v>396</v>
      </c>
      <c r="D125" s="20" t="s">
        <v>397</v>
      </c>
      <c r="E125" s="20" t="s">
        <v>398</v>
      </c>
      <c r="F125" s="20"/>
      <c r="G125" s="57" t="s">
        <v>410</v>
      </c>
      <c r="H125" s="20" t="s">
        <v>1</v>
      </c>
      <c r="I125" s="20" t="s">
        <v>411</v>
      </c>
      <c r="J125" s="20" t="s">
        <v>407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5">
        <v>0</v>
      </c>
      <c r="AB125" s="45"/>
      <c r="AC125" s="49" t="str">
        <f ca="1"/>
        <v/>
      </c>
      <c r="AD125" s="51"/>
      <c r="AE125" s="42"/>
      <c r="AF125" s="51"/>
    </row>
    <row r="126" spans="1:33" x14ac:dyDescent="0.25">
      <c r="A126" s="20" t="s">
        <v>404</v>
      </c>
      <c r="B126" s="20" t="s">
        <v>395</v>
      </c>
      <c r="C126" s="20" t="s">
        <v>396</v>
      </c>
      <c r="D126" s="20" t="s">
        <v>397</v>
      </c>
      <c r="E126" s="20" t="s">
        <v>398</v>
      </c>
      <c r="F126" s="20"/>
      <c r="G126" s="57" t="s">
        <v>412</v>
      </c>
      <c r="H126" s="20" t="s">
        <v>1</v>
      </c>
      <c r="I126" s="20" t="s">
        <v>411</v>
      </c>
      <c r="J126" s="20" t="s">
        <v>409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5">
        <v>0</v>
      </c>
      <c r="AB126" s="45"/>
      <c r="AC126" s="49" t="str">
        <f ca="1"/>
        <v/>
      </c>
      <c r="AD126" s="51"/>
      <c r="AE126" s="42"/>
      <c r="AF126" s="51"/>
    </row>
    <row r="127" spans="1:33" x14ac:dyDescent="0.25">
      <c r="A127" s="20" t="s">
        <v>404</v>
      </c>
      <c r="B127" s="20" t="s">
        <v>395</v>
      </c>
      <c r="C127" s="20" t="s">
        <v>396</v>
      </c>
      <c r="D127" s="20" t="s">
        <v>397</v>
      </c>
      <c r="E127" s="20" t="s">
        <v>398</v>
      </c>
      <c r="F127" s="20"/>
      <c r="G127" s="57" t="s">
        <v>413</v>
      </c>
      <c r="H127" s="20" t="s">
        <v>1</v>
      </c>
      <c r="I127" s="20" t="s">
        <v>414</v>
      </c>
      <c r="J127" s="20" t="s">
        <v>407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5">
        <v>0</v>
      </c>
      <c r="AB127" s="45"/>
      <c r="AC127" s="49" t="str">
        <f ca="1"/>
        <v/>
      </c>
      <c r="AD127" s="51"/>
      <c r="AE127" s="42"/>
      <c r="AF127" s="51"/>
    </row>
    <row r="128" spans="1:33" x14ac:dyDescent="0.25">
      <c r="A128" s="20" t="s">
        <v>404</v>
      </c>
      <c r="B128" s="20" t="s">
        <v>395</v>
      </c>
      <c r="C128" s="20" t="s">
        <v>396</v>
      </c>
      <c r="D128" s="20" t="s">
        <v>397</v>
      </c>
      <c r="E128" s="20" t="s">
        <v>398</v>
      </c>
      <c r="F128" s="20"/>
      <c r="G128" s="57" t="s">
        <v>415</v>
      </c>
      <c r="H128" s="20" t="s">
        <v>1</v>
      </c>
      <c r="I128" s="20" t="s">
        <v>414</v>
      </c>
      <c r="J128" s="20" t="s">
        <v>409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5">
        <v>0</v>
      </c>
      <c r="AB128" s="45"/>
      <c r="AC128" s="49" t="str">
        <f ca="1"/>
        <v/>
      </c>
      <c r="AD128" s="51"/>
      <c r="AE128" s="42"/>
      <c r="AF128" s="51"/>
    </row>
    <row r="129" spans="1:32" x14ac:dyDescent="0.25">
      <c r="A129" s="20" t="s">
        <v>404</v>
      </c>
      <c r="B129" s="20" t="s">
        <v>395</v>
      </c>
      <c r="C129" s="20" t="s">
        <v>396</v>
      </c>
      <c r="D129" s="20" t="s">
        <v>397</v>
      </c>
      <c r="E129" s="20" t="s">
        <v>398</v>
      </c>
      <c r="F129" s="20"/>
      <c r="G129" s="57" t="s">
        <v>416</v>
      </c>
      <c r="H129" s="20" t="s">
        <v>1</v>
      </c>
      <c r="I129" s="20" t="s">
        <v>417</v>
      </c>
      <c r="J129" s="20" t="s">
        <v>407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5">
        <v>0</v>
      </c>
      <c r="AB129" s="45"/>
      <c r="AC129" s="49" t="str">
        <f ca="1"/>
        <v/>
      </c>
      <c r="AD129" s="51"/>
      <c r="AE129" s="42"/>
      <c r="AF129" s="51"/>
    </row>
    <row r="130" spans="1:32" x14ac:dyDescent="0.25">
      <c r="A130" s="20" t="s">
        <v>404</v>
      </c>
      <c r="B130" s="20" t="s">
        <v>395</v>
      </c>
      <c r="C130" s="20" t="s">
        <v>396</v>
      </c>
      <c r="D130" s="20" t="s">
        <v>397</v>
      </c>
      <c r="E130" s="20" t="s">
        <v>398</v>
      </c>
      <c r="F130" s="20"/>
      <c r="G130" s="57" t="s">
        <v>418</v>
      </c>
      <c r="H130" s="20" t="s">
        <v>1</v>
      </c>
      <c r="I130" s="20" t="s">
        <v>417</v>
      </c>
      <c r="J130" s="20" t="s">
        <v>409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5">
        <v>0</v>
      </c>
      <c r="AB130" s="45"/>
      <c r="AC130" s="49" t="str">
        <f ca="1"/>
        <v/>
      </c>
      <c r="AD130" s="51"/>
      <c r="AE130" s="42"/>
      <c r="AF130" s="51"/>
    </row>
    <row r="131" spans="1:32" x14ac:dyDescent="0.25">
      <c r="A131" s="20" t="s">
        <v>404</v>
      </c>
      <c r="B131" s="20" t="s">
        <v>395</v>
      </c>
      <c r="C131" s="20" t="s">
        <v>396</v>
      </c>
      <c r="D131" s="20" t="s">
        <v>397</v>
      </c>
      <c r="E131" s="20" t="s">
        <v>398</v>
      </c>
      <c r="F131" s="20"/>
      <c r="G131" s="57" t="s">
        <v>419</v>
      </c>
      <c r="H131" s="20" t="s">
        <v>1</v>
      </c>
      <c r="I131" s="20" t="s">
        <v>420</v>
      </c>
      <c r="J131" s="20" t="s">
        <v>407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5">
        <v>0</v>
      </c>
      <c r="AB131" s="45"/>
      <c r="AC131" s="49" t="str">
        <f ca="1"/>
        <v/>
      </c>
      <c r="AD131" s="51"/>
      <c r="AE131" s="42"/>
      <c r="AF131" s="51"/>
    </row>
    <row r="132" spans="1:32" x14ac:dyDescent="0.25">
      <c r="A132" s="20" t="s">
        <v>404</v>
      </c>
      <c r="B132" s="20" t="s">
        <v>395</v>
      </c>
      <c r="C132" s="20" t="s">
        <v>396</v>
      </c>
      <c r="D132" s="20" t="s">
        <v>397</v>
      </c>
      <c r="E132" s="20" t="s">
        <v>398</v>
      </c>
      <c r="F132" s="20"/>
      <c r="G132" s="57" t="s">
        <v>421</v>
      </c>
      <c r="H132" s="20" t="s">
        <v>1</v>
      </c>
      <c r="I132" s="20" t="s">
        <v>420</v>
      </c>
      <c r="J132" s="20" t="s">
        <v>409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5">
        <v>0</v>
      </c>
      <c r="AB132" s="45"/>
      <c r="AC132" s="49" t="str">
        <f ca="1"/>
        <v/>
      </c>
      <c r="AD132" s="51"/>
      <c r="AE132" s="42"/>
      <c r="AF132" s="51"/>
    </row>
    <row r="133" spans="1:32" x14ac:dyDescent="0.25">
      <c r="A133" s="20" t="s">
        <v>404</v>
      </c>
      <c r="B133" s="20" t="s">
        <v>395</v>
      </c>
      <c r="C133" s="20" t="s">
        <v>396</v>
      </c>
      <c r="D133" s="20" t="s">
        <v>397</v>
      </c>
      <c r="E133" s="20" t="s">
        <v>398</v>
      </c>
      <c r="F133" s="20"/>
      <c r="G133" s="57" t="s">
        <v>422</v>
      </c>
      <c r="H133" s="20" t="s">
        <v>1</v>
      </c>
      <c r="I133" s="20" t="s">
        <v>423</v>
      </c>
      <c r="J133" s="20" t="s">
        <v>407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5">
        <v>0</v>
      </c>
      <c r="AB133" s="45"/>
      <c r="AC133" s="49" t="str">
        <f ca="1"/>
        <v/>
      </c>
      <c r="AD133" s="51"/>
      <c r="AE133" s="42"/>
      <c r="AF133" s="51"/>
    </row>
    <row r="134" spans="1:32" x14ac:dyDescent="0.25">
      <c r="A134" s="20" t="s">
        <v>404</v>
      </c>
      <c r="B134" s="20" t="s">
        <v>395</v>
      </c>
      <c r="C134" s="20" t="s">
        <v>396</v>
      </c>
      <c r="D134" s="20" t="s">
        <v>397</v>
      </c>
      <c r="E134" s="20" t="s">
        <v>398</v>
      </c>
      <c r="F134" s="20"/>
      <c r="G134" s="57" t="s">
        <v>424</v>
      </c>
      <c r="H134" s="20" t="s">
        <v>1</v>
      </c>
      <c r="I134" s="20" t="s">
        <v>423</v>
      </c>
      <c r="J134" s="20" t="s">
        <v>409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5">
        <v>0</v>
      </c>
      <c r="AB134" s="45"/>
      <c r="AC134" s="49" t="str">
        <f ca="1"/>
        <v/>
      </c>
      <c r="AD134" s="51"/>
      <c r="AE134" s="42"/>
      <c r="AF134" s="51"/>
    </row>
    <row r="135" spans="1:32" x14ac:dyDescent="0.25">
      <c r="A135" s="20" t="s">
        <v>404</v>
      </c>
      <c r="B135" s="20" t="s">
        <v>395</v>
      </c>
      <c r="C135" s="20" t="s">
        <v>396</v>
      </c>
      <c r="D135" s="20" t="s">
        <v>397</v>
      </c>
      <c r="E135" s="20" t="s">
        <v>398</v>
      </c>
      <c r="F135" s="20"/>
      <c r="G135" s="57" t="s">
        <v>425</v>
      </c>
      <c r="H135" s="20" t="s">
        <v>1</v>
      </c>
      <c r="I135" s="20" t="s">
        <v>426</v>
      </c>
      <c r="J135" s="20" t="s">
        <v>407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5">
        <v>0</v>
      </c>
      <c r="AB135" s="45"/>
      <c r="AC135" s="49" t="str">
        <f ca="1"/>
        <v/>
      </c>
      <c r="AD135" s="51"/>
      <c r="AE135" s="42"/>
      <c r="AF135" s="51"/>
    </row>
    <row r="136" spans="1:32" x14ac:dyDescent="0.25">
      <c r="A136" s="20" t="s">
        <v>404</v>
      </c>
      <c r="B136" s="20" t="s">
        <v>395</v>
      </c>
      <c r="C136" s="20" t="s">
        <v>396</v>
      </c>
      <c r="D136" s="20" t="s">
        <v>397</v>
      </c>
      <c r="E136" s="20" t="s">
        <v>398</v>
      </c>
      <c r="F136" s="20"/>
      <c r="G136" s="57" t="s">
        <v>427</v>
      </c>
      <c r="H136" s="20" t="s">
        <v>1</v>
      </c>
      <c r="I136" s="20" t="s">
        <v>426</v>
      </c>
      <c r="J136" s="20" t="s">
        <v>409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5">
        <v>0</v>
      </c>
      <c r="AB136" s="45"/>
      <c r="AC136" s="49" t="str">
        <f ca="1"/>
        <v/>
      </c>
      <c r="AD136" s="51"/>
      <c r="AE136" s="42"/>
      <c r="AF136" s="51"/>
    </row>
    <row r="137" spans="1:32" x14ac:dyDescent="0.25">
      <c r="A137" s="20" t="s">
        <v>404</v>
      </c>
      <c r="B137" s="20" t="s">
        <v>395</v>
      </c>
      <c r="C137" s="20" t="s">
        <v>396</v>
      </c>
      <c r="D137" s="20" t="s">
        <v>397</v>
      </c>
      <c r="E137" s="20" t="s">
        <v>398</v>
      </c>
      <c r="F137" s="20"/>
      <c r="G137" s="57" t="s">
        <v>428</v>
      </c>
      <c r="H137" s="20" t="s">
        <v>1</v>
      </c>
      <c r="I137" s="20" t="s">
        <v>429</v>
      </c>
      <c r="J137" s="20" t="s">
        <v>407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5">
        <v>0</v>
      </c>
      <c r="AB137" s="45"/>
      <c r="AC137" s="49" t="str">
        <f ca="1"/>
        <v/>
      </c>
      <c r="AD137" s="51"/>
      <c r="AE137" s="42"/>
      <c r="AF137" s="51"/>
    </row>
    <row r="138" spans="1:32" x14ac:dyDescent="0.25">
      <c r="A138" s="22" t="s">
        <v>404</v>
      </c>
      <c r="B138" s="22" t="s">
        <v>395</v>
      </c>
      <c r="C138" s="22" t="s">
        <v>396</v>
      </c>
      <c r="D138" s="22" t="s">
        <v>397</v>
      </c>
      <c r="E138" s="22" t="s">
        <v>398</v>
      </c>
      <c r="F138" s="22"/>
      <c r="G138" s="58" t="s">
        <v>430</v>
      </c>
      <c r="H138" s="22" t="s">
        <v>1</v>
      </c>
      <c r="I138" s="22" t="s">
        <v>429</v>
      </c>
      <c r="J138" s="22" t="s">
        <v>409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5">
        <v>0</v>
      </c>
      <c r="AB138" s="45"/>
      <c r="AC138" s="49" t="str">
        <f ca="1"/>
        <v/>
      </c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4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4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4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4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4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4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50" priority="250" stopIfTrue="1">
      <formula>#REF!="PA"</formula>
    </cfRule>
  </conditionalFormatting>
  <conditionalFormatting sqref="A122:P122 U122 X122:AC122">
    <cfRule type="expression" dxfId="49" priority="15" stopIfTrue="1">
      <formula>#REF!="PA"</formula>
    </cfRule>
  </conditionalFormatting>
  <conditionalFormatting sqref="A3:W6 E8:T8 V8:W8">
    <cfRule type="expression" dxfId="48" priority="1137" stopIfTrue="1">
      <formula>$X3="PA"</formula>
    </cfRule>
  </conditionalFormatting>
  <conditionalFormatting sqref="A1:X2">
    <cfRule type="expression" dxfId="47" priority="1304" stopIfTrue="1">
      <formula>$Y1="PA"</formula>
    </cfRule>
  </conditionalFormatting>
  <conditionalFormatting sqref="A123:AC138">
    <cfRule type="expression" dxfId="46" priority="16" stopIfTrue="1">
      <formula>#REF!="PA"</formula>
    </cfRule>
  </conditionalFormatting>
  <conditionalFormatting sqref="B8">
    <cfRule type="expression" dxfId="45" priority="578" stopIfTrue="1">
      <formula>$X8="PA"</formula>
    </cfRule>
  </conditionalFormatting>
  <conditionalFormatting sqref="B65">
    <cfRule type="expression" dxfId="44" priority="535" stopIfTrue="1">
      <formula>$X65="PA"</formula>
    </cfRule>
  </conditionalFormatting>
  <conditionalFormatting sqref="D7:AC7">
    <cfRule type="expression" dxfId="43" priority="11" stopIfTrue="1">
      <formula>#REF!="PA"</formula>
    </cfRule>
  </conditionalFormatting>
  <conditionalFormatting sqref="E65">
    <cfRule type="expression" dxfId="42" priority="536" stopIfTrue="1">
      <formula>$X65="PA"</formula>
    </cfRule>
  </conditionalFormatting>
  <conditionalFormatting sqref="E65:H65">
    <cfRule type="expression" dxfId="41" priority="537" stopIfTrue="1">
      <formula>#REF!="PA"</formula>
    </cfRule>
  </conditionalFormatting>
  <conditionalFormatting sqref="E8:Q8 U8 X8:AC8">
    <cfRule type="expression" dxfId="40" priority="1246" stopIfTrue="1">
      <formula>#REF!="PA"</formula>
    </cfRule>
  </conditionalFormatting>
  <conditionalFormatting sqref="G2:G121">
    <cfRule type="duplicateValues" dxfId="39" priority="1364"/>
  </conditionalFormatting>
  <conditionalFormatting sqref="G122:G138">
    <cfRule type="duplicateValues" dxfId="38" priority="14"/>
  </conditionalFormatting>
  <conditionalFormatting sqref="I65 V65:W65">
    <cfRule type="expression" dxfId="37" priority="797" stopIfTrue="1">
      <formula>$X65="PA"</formula>
    </cfRule>
  </conditionalFormatting>
  <conditionalFormatting sqref="I65:Q65">
    <cfRule type="expression" dxfId="36" priority="390" stopIfTrue="1">
      <formula>#REF!="PA"</formula>
    </cfRule>
  </conditionalFormatting>
  <conditionalFormatting sqref="J9:J56 D9:I64 K10:N28 O10:O40 P17:AC56 D66:I121">
    <cfRule type="expression" dxfId="35" priority="844" stopIfTrue="1">
      <formula>#REF!="PA"</formula>
    </cfRule>
  </conditionalFormatting>
  <conditionalFormatting sqref="J66:J97">
    <cfRule type="expression" dxfId="34" priority="531" stopIfTrue="1">
      <formula>#REF!="PA"</formula>
    </cfRule>
  </conditionalFormatting>
  <conditionalFormatting sqref="K29 M29:N29 K30:N32 M33:N37 K38:N40">
    <cfRule type="expression" dxfId="33" priority="1122" stopIfTrue="1">
      <formula>#REF!="PA"</formula>
    </cfRule>
  </conditionalFormatting>
  <conditionalFormatting sqref="K33:K37">
    <cfRule type="expression" dxfId="32" priority="562" stopIfTrue="1">
      <formula>#REF!="PA"</formula>
    </cfRule>
  </conditionalFormatting>
  <conditionalFormatting sqref="K113">
    <cfRule type="expression" dxfId="31" priority="378" stopIfTrue="1">
      <formula>#REF!="PA"</formula>
    </cfRule>
  </conditionalFormatting>
  <conditionalFormatting sqref="K41:O58 A41:A64 P57:X58 K59:Q59 S59:X59 M60:P60 S60:T60 V60:X60 K61:X62">
    <cfRule type="expression" dxfId="30" priority="1021" stopIfTrue="1">
      <formula>#REF!="PA"</formula>
    </cfRule>
  </conditionalFormatting>
  <conditionalFormatting sqref="K66:P98">
    <cfRule type="expression" dxfId="29" priority="384" stopIfTrue="1">
      <formula>#REF!="PA"</formula>
    </cfRule>
  </conditionalFormatting>
  <conditionalFormatting sqref="K63:Q63 S63:X63">
    <cfRule type="expression" dxfId="28" priority="1" stopIfTrue="1">
      <formula>#REF!="PA"</formula>
    </cfRule>
  </conditionalFormatting>
  <conditionalFormatting sqref="K116:Q117 K120:Q121">
    <cfRule type="expression" dxfId="27" priority="380" stopIfTrue="1">
      <formula>#REF!="PA"</formula>
    </cfRule>
  </conditionalFormatting>
  <conditionalFormatting sqref="K9:AC9 Q10:AC13 Q14:V14 X14:AC14 Q15:AC16">
    <cfRule type="expression" dxfId="26" priority="1116" stopIfTrue="1">
      <formula>#REF!="PA"</formula>
    </cfRule>
  </conditionalFormatting>
  <conditionalFormatting sqref="K99:AC99">
    <cfRule type="expression" dxfId="25" priority="20" stopIfTrue="1">
      <formula>#REF!="PA"</formula>
    </cfRule>
  </conditionalFormatting>
  <conditionalFormatting sqref="K103:AC103">
    <cfRule type="expression" dxfId="24" priority="19" stopIfTrue="1">
      <formula>#REF!="PA"</formula>
    </cfRule>
  </conditionalFormatting>
  <conditionalFormatting sqref="L33:L36">
    <cfRule type="expression" dxfId="23" priority="561" stopIfTrue="1">
      <formula>#REF!="PA"</formula>
    </cfRule>
  </conditionalFormatting>
  <conditionalFormatting sqref="L108">
    <cfRule type="expression" dxfId="22" priority="379" stopIfTrue="1">
      <formula>#REF!="PA"</formula>
    </cfRule>
  </conditionalFormatting>
  <conditionalFormatting sqref="L112:L113">
    <cfRule type="expression" dxfId="21" priority="377" stopIfTrue="1">
      <formula>#REF!="PA"</formula>
    </cfRule>
  </conditionalFormatting>
  <conditionalFormatting sqref="M64:P64 R64:X64">
    <cfRule type="expression" dxfId="20" priority="849" stopIfTrue="1">
      <formula>#REF!="PA"</formula>
    </cfRule>
  </conditionalFormatting>
  <conditionalFormatting sqref="P10:P16">
    <cfRule type="expression" dxfId="19" priority="1099" stopIfTrue="1">
      <formula>#REF!="PA"</formula>
    </cfRule>
  </conditionalFormatting>
  <conditionalFormatting sqref="Q75:Q97">
    <cfRule type="expression" dxfId="18" priority="373" stopIfTrue="1">
      <formula>#REF!="PA"</formula>
    </cfRule>
  </conditionalFormatting>
  <conditionalFormatting sqref="Q114">
    <cfRule type="expression" dxfId="17" priority="383" stopIfTrue="1">
      <formula>#REF!="PA"</formula>
    </cfRule>
  </conditionalFormatting>
  <conditionalFormatting sqref="Q118">
    <cfRule type="expression" dxfId="16" priority="2" stopIfTrue="1">
      <formula>#REF!="PA"</formula>
    </cfRule>
  </conditionalFormatting>
  <conditionalFormatting sqref="Q122:T122">
    <cfRule type="expression" dxfId="15" priority="17" stopIfTrue="1">
      <formula>$X122="PA"</formula>
    </cfRule>
  </conditionalFormatting>
  <conditionalFormatting sqref="Q66:X74">
    <cfRule type="expression" dxfId="14" priority="4" stopIfTrue="1">
      <formula>#REF!="PA"</formula>
    </cfRule>
  </conditionalFormatting>
  <conditionalFormatting sqref="Q104:X105">
    <cfRule type="expression" dxfId="13" priority="523" stopIfTrue="1">
      <formula>#REF!="PA"</formula>
    </cfRule>
  </conditionalFormatting>
  <conditionalFormatting sqref="R106:S113 U106:W113">
    <cfRule type="expression" dxfId="12" priority="775" stopIfTrue="1">
      <formula>#REF!="PA"</formula>
    </cfRule>
  </conditionalFormatting>
  <conditionalFormatting sqref="R65:T65">
    <cfRule type="expression" dxfId="11" priority="1195" stopIfTrue="1">
      <formula>$X65="PA"</formula>
    </cfRule>
  </conditionalFormatting>
  <conditionalFormatting sqref="R75:X79 R80:S83 U80:X83 R84:X98 R100:AC102">
    <cfRule type="expression" dxfId="10" priority="524" stopIfTrue="1">
      <formula>#REF!="PA"</formula>
    </cfRule>
  </conditionalFormatting>
  <conditionalFormatting sqref="R114:AC121">
    <cfRule type="expression" dxfId="9" priority="1123" stopIfTrue="1">
      <formula>#REF!="PA"</formula>
    </cfRule>
  </conditionalFormatting>
  <conditionalFormatting sqref="T80:T81">
    <cfRule type="expression" dxfId="8" priority="374" stopIfTrue="1">
      <formula>#REF!="PA"</formula>
    </cfRule>
  </conditionalFormatting>
  <conditionalFormatting sqref="U65 X65:AC65">
    <cfRule type="expression" dxfId="7" priority="1196" stopIfTrue="1">
      <formula>#REF!="PA"</formula>
    </cfRule>
  </conditionalFormatting>
  <conditionalFormatting sqref="V122:W122">
    <cfRule type="expression" dxfId="6" priority="18" stopIfTrue="1">
      <formula>$X122="PA"</formula>
    </cfRule>
  </conditionalFormatting>
  <conditionalFormatting sqref="X3:X6">
    <cfRule type="expression" dxfId="5" priority="1164" stopIfTrue="1">
      <formula>#REF!="PA"</formula>
    </cfRule>
  </conditionalFormatting>
  <conditionalFormatting sqref="Y1:AC2">
    <cfRule type="expression" dxfId="4" priority="1326" stopIfTrue="1">
      <formula>$X1="PA"</formula>
    </cfRule>
  </conditionalFormatting>
  <conditionalFormatting sqref="Y3:AC6">
    <cfRule type="expression" dxfId="3" priority="1167" stopIfTrue="1">
      <formula>$X3="PA"</formula>
    </cfRule>
  </conditionalFormatting>
  <conditionalFormatting sqref="Y57:AC64 Y66:AC98 Y104:AC107 X106:X107 X108:AC113">
    <cfRule type="expression" dxfId="2" priority="1243" stopIfTrue="1">
      <formula>#REF!="PA"</formula>
    </cfRule>
  </conditionalFormatting>
  <conditionalFormatting sqref="AD1:AD121 AD139:AD144">
    <cfRule type="expression" dxfId="1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0" priority="13">
      <formula>IF($AD122&lt;&gt;"", SUM(--(($AC122 &amp;"-" &amp;$AD122)=(_xlfn._TRO_TRAILING($AC$1:$AC$10004) &amp;"-" &amp;_xlfn._TRO_TRAILING($AD$1:$AD$10004))))&gt;1)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DF65-5563-4E8A-AE6F-6C40CA30FD51}">
  <sheetPr codeName="Sheet3"/>
  <dimension ref="A1:H16"/>
  <sheetViews>
    <sheetView zoomScale="130" zoomScaleNormal="130" workbookViewId="0">
      <selection activeCell="F19" sqref="F19"/>
    </sheetView>
  </sheetViews>
  <sheetFormatPr defaultRowHeight="15" x14ac:dyDescent="0.25"/>
  <cols>
    <col min="3" max="3" width="14.5703125" bestFit="1" customWidth="1"/>
    <col min="4" max="4" width="24.28515625" bestFit="1" customWidth="1"/>
    <col min="5" max="5" width="27.42578125" bestFit="1" customWidth="1"/>
    <col min="6" max="6" width="27.42578125" customWidth="1"/>
    <col min="7" max="7" width="14.140625" customWidth="1"/>
    <col min="28" max="29" width="7.85546875" customWidth="1"/>
    <col min="30" max="30" width="6.7109375" customWidth="1"/>
  </cols>
  <sheetData>
    <row r="1" spans="1:8" x14ac:dyDescent="0.25">
      <c r="A1" t="s">
        <v>325</v>
      </c>
      <c r="B1" t="s">
        <v>324</v>
      </c>
      <c r="C1" t="s">
        <v>326</v>
      </c>
      <c r="D1" t="s">
        <v>16</v>
      </c>
      <c r="E1" t="s">
        <v>393</v>
      </c>
      <c r="F1" t="s">
        <v>444</v>
      </c>
      <c r="G1" t="s">
        <v>434</v>
      </c>
      <c r="H1" t="s">
        <v>468</v>
      </c>
    </row>
    <row r="2" spans="1:8" x14ac:dyDescent="0.25">
      <c r="A2">
        <v>0</v>
      </c>
      <c r="B2" cm="1">
        <f t="array" ref="B2:B16">_xlfn._TRO_TRAILING(A2:A992)</f>
        <v>0</v>
      </c>
      <c r="C2" s="53" t="s">
        <v>52</v>
      </c>
      <c r="D2" t="s">
        <v>198</v>
      </c>
      <c r="E2" t="str" cm="1">
        <f t="array" ref="E2:E16">"=S1" &amp;_xlfn._TRO_TRAILING(D2:D93)</f>
        <v>=S1+MC1.CC1</v>
      </c>
      <c r="F2">
        <v>1</v>
      </c>
      <c r="H2" cm="1">
        <f t="array" ref="H2:H16">_xlfn.LET(
    _xlpm.cab_indexes,_xlfn._TRO_TRAILING( DiagnosisBlocks!A2:A999),
    _xlpm.cab_indexes_lookup_col, _xlfn.VSTACK('NET SAFETY 50'!AE:AE),
    IFERROR(
        _xlfn.BYROW(
            _xlpm.cab_indexes,
            _xlfn.LAMBDA(_xlpm.r, SUM(--(LEN(_xlfn._xlws.FILTER(_xlpm.cab_indexes_lookup_col, _xlpm.cab_indexes_lookup_col = TEXT(_xlpm.r, "000"))) = 3)))
        ),
        0
    )
)</f>
        <v>2</v>
      </c>
    </row>
    <row r="3" spans="1:8" x14ac:dyDescent="0.25">
      <c r="A3">
        <v>1</v>
      </c>
      <c r="B3">
        <v>1</v>
      </c>
      <c r="C3" s="53" t="s">
        <v>52</v>
      </c>
      <c r="D3" t="s">
        <v>199</v>
      </c>
      <c r="E3" t="str">
        <v>=S1+MS1.CC1</v>
      </c>
      <c r="F3">
        <v>1</v>
      </c>
      <c r="H3">
        <v>8</v>
      </c>
    </row>
    <row r="4" spans="1:8" x14ac:dyDescent="0.25">
      <c r="A4">
        <v>2</v>
      </c>
      <c r="B4">
        <v>2</v>
      </c>
      <c r="C4" s="53" t="s">
        <v>52</v>
      </c>
      <c r="D4" t="s">
        <v>213</v>
      </c>
      <c r="E4" t="str">
        <v>=S1+IN1.CC1</v>
      </c>
      <c r="F4">
        <v>1</v>
      </c>
      <c r="H4">
        <v>5</v>
      </c>
    </row>
    <row r="5" spans="1:8" x14ac:dyDescent="0.25">
      <c r="A5">
        <v>3</v>
      </c>
      <c r="B5">
        <v>3</v>
      </c>
      <c r="C5" s="53" t="s">
        <v>52</v>
      </c>
      <c r="D5" t="s">
        <v>201</v>
      </c>
      <c r="E5" t="str">
        <v>=S1+IN2.CC1</v>
      </c>
      <c r="F5">
        <v>1</v>
      </c>
      <c r="H5">
        <v>5</v>
      </c>
    </row>
    <row r="6" spans="1:8" x14ac:dyDescent="0.25">
      <c r="A6">
        <v>9</v>
      </c>
      <c r="B6">
        <v>9</v>
      </c>
      <c r="C6" s="53" t="s">
        <v>52</v>
      </c>
      <c r="D6" t="s">
        <v>200</v>
      </c>
      <c r="E6" t="str">
        <v>=S1+PC1.CC1</v>
      </c>
      <c r="F6">
        <v>1</v>
      </c>
      <c r="H6">
        <v>4</v>
      </c>
    </row>
    <row r="7" spans="1:8" x14ac:dyDescent="0.25">
      <c r="A7">
        <v>12</v>
      </c>
      <c r="B7">
        <v>12</v>
      </c>
      <c r="C7" s="53" t="s">
        <v>52</v>
      </c>
      <c r="D7" s="53" t="s">
        <v>459</v>
      </c>
      <c r="E7" t="str">
        <v>=S1+FieldIODevices_1</v>
      </c>
      <c r="F7">
        <v>2</v>
      </c>
      <c r="H7">
        <v>1</v>
      </c>
    </row>
    <row r="8" spans="1:8" x14ac:dyDescent="0.25">
      <c r="A8">
        <v>13</v>
      </c>
      <c r="B8">
        <v>13</v>
      </c>
      <c r="C8" s="53" t="s">
        <v>52</v>
      </c>
      <c r="D8" s="53" t="s">
        <v>460</v>
      </c>
      <c r="E8" t="str">
        <v>=S1+SafetyDoors_1</v>
      </c>
      <c r="F8">
        <v>2</v>
      </c>
      <c r="H8">
        <v>4</v>
      </c>
    </row>
    <row r="9" spans="1:8" x14ac:dyDescent="0.25">
      <c r="A9">
        <v>14</v>
      </c>
      <c r="B9">
        <v>14</v>
      </c>
      <c r="C9" s="53" t="s">
        <v>52</v>
      </c>
      <c r="D9" s="53" t="s">
        <v>461</v>
      </c>
      <c r="E9" t="str">
        <v>=S1+SafetyEncoders_1</v>
      </c>
      <c r="F9">
        <v>2</v>
      </c>
      <c r="H9">
        <v>2</v>
      </c>
    </row>
    <row r="10" spans="1:8" x14ac:dyDescent="0.25">
      <c r="A10">
        <v>15</v>
      </c>
      <c r="B10">
        <v>15</v>
      </c>
      <c r="C10" s="53" t="s">
        <v>52</v>
      </c>
      <c r="D10" s="53" t="s">
        <v>462</v>
      </c>
      <c r="E10" t="str">
        <v>=S1+SafetyBreakers_1</v>
      </c>
      <c r="F10">
        <v>2</v>
      </c>
      <c r="H10">
        <v>1</v>
      </c>
    </row>
    <row r="11" spans="1:8" x14ac:dyDescent="0.25">
      <c r="A11">
        <v>16</v>
      </c>
      <c r="B11">
        <v>16</v>
      </c>
      <c r="C11" s="53" t="s">
        <v>52</v>
      </c>
      <c r="D11" s="53" t="s">
        <v>463</v>
      </c>
      <c r="E11" t="str">
        <v>=S1+FireAlarm_1</v>
      </c>
      <c r="F11">
        <v>2</v>
      </c>
      <c r="H11">
        <v>1</v>
      </c>
    </row>
    <row r="12" spans="1:8" x14ac:dyDescent="0.25">
      <c r="A12">
        <v>17</v>
      </c>
      <c r="B12">
        <v>17</v>
      </c>
      <c r="C12" s="53" t="s">
        <v>52</v>
      </c>
      <c r="D12" s="53" t="s">
        <v>464</v>
      </c>
      <c r="E12" t="str">
        <v>=S1+EmergencyPushButtons_1</v>
      </c>
      <c r="F12">
        <v>2</v>
      </c>
      <c r="H12">
        <v>3</v>
      </c>
    </row>
    <row r="13" spans="1:8" x14ac:dyDescent="0.25">
      <c r="A13">
        <v>18</v>
      </c>
      <c r="B13">
        <v>18</v>
      </c>
      <c r="C13" s="53" t="s">
        <v>52</v>
      </c>
      <c r="D13" s="53" t="s">
        <v>465</v>
      </c>
      <c r="E13" t="str">
        <v>=S1+EmergencyPushButtons_2</v>
      </c>
      <c r="F13">
        <v>2</v>
      </c>
      <c r="H13">
        <v>0</v>
      </c>
    </row>
    <row r="14" spans="1:8" x14ac:dyDescent="0.25">
      <c r="A14">
        <v>19</v>
      </c>
      <c r="B14">
        <v>19</v>
      </c>
      <c r="C14" s="53" t="s">
        <v>52</v>
      </c>
      <c r="D14" s="53" t="s">
        <v>466</v>
      </c>
      <c r="E14" t="str">
        <v>=S1+EmergencyPushButtons_3</v>
      </c>
      <c r="F14">
        <v>2</v>
      </c>
      <c r="H14">
        <v>0</v>
      </c>
    </row>
    <row r="15" spans="1:8" x14ac:dyDescent="0.25">
      <c r="A15">
        <v>20</v>
      </c>
      <c r="B15">
        <v>20</v>
      </c>
      <c r="C15" s="53" t="s">
        <v>52</v>
      </c>
      <c r="D15" s="53" t="s">
        <v>467</v>
      </c>
      <c r="E15" t="str">
        <v>=S1+EmergencyPushButtons_4</v>
      </c>
      <c r="F15">
        <v>2</v>
      </c>
      <c r="H15">
        <v>0</v>
      </c>
    </row>
    <row r="16" spans="1:8" x14ac:dyDescent="0.25">
      <c r="A16">
        <v>21</v>
      </c>
      <c r="B16">
        <v>21</v>
      </c>
      <c r="C16" s="53" t="s">
        <v>52</v>
      </c>
      <c r="D16" s="53" t="s">
        <v>481</v>
      </c>
      <c r="E16" t="str">
        <v>=S1+EmergencyAreas_1</v>
      </c>
      <c r="F16">
        <v>2</v>
      </c>
      <c r="H16">
        <v>3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DiagnosisBlocks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2026-06-18T00:06:57Z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