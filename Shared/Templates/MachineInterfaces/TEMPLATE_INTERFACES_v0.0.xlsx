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ource\Repos\_Openn2_pl4-fvt\Shared\Templates\MachineInterfaces\"/>
    </mc:Choice>
  </mc:AlternateContent>
  <xr:revisionPtr revIDLastSave="0" documentId="13_ncr:1_{CF870134-5A7D-4D78-86B0-13119C27B97C}" xr6:coauthVersionLast="47" xr6:coauthVersionMax="47" xr10:uidLastSave="{00000000-0000-0000-0000-000000000000}"/>
  <bookViews>
    <workbookView xWindow="28680" yWindow="-2730" windowWidth="29040" windowHeight="15900" activeTab="2" xr2:uid="{00000000-000D-0000-FFFF-FFFF00000000}"/>
  </bookViews>
  <sheets>
    <sheet name="&lt;GENERIC&gt;" sheetId="4" r:id="rId1"/>
    <sheet name="SORTER" sheetId="2" r:id="rId2"/>
    <sheet name="FVTGENERIC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5" l="1"/>
  <c r="M44" i="5"/>
  <c r="N43" i="5"/>
  <c r="M43" i="5"/>
  <c r="N42" i="5"/>
  <c r="M42" i="5"/>
  <c r="N41" i="5"/>
  <c r="M41" i="5"/>
  <c r="N40" i="5"/>
  <c r="M40" i="5"/>
  <c r="N39" i="5"/>
  <c r="M39" i="5"/>
  <c r="N37" i="5"/>
  <c r="M37" i="5"/>
  <c r="L30" i="5"/>
  <c r="L22" i="5"/>
  <c r="K22" i="5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N21" i="5"/>
  <c r="M21" i="5"/>
  <c r="N20" i="5"/>
  <c r="M20" i="5"/>
  <c r="M19" i="5"/>
  <c r="M18" i="5"/>
  <c r="L11" i="5"/>
  <c r="L12" i="5" s="1"/>
  <c r="AJ3" i="5"/>
  <c r="L3" i="5"/>
  <c r="K3" i="5"/>
  <c r="K4" i="5" s="1"/>
  <c r="K5" i="5" s="1"/>
  <c r="K6" i="5" s="1"/>
  <c r="K7" i="5" s="1"/>
  <c r="K8" i="5" s="1"/>
  <c r="K9" i="5" s="1"/>
  <c r="K10" i="5" s="1"/>
  <c r="AK2" i="5"/>
  <c r="M2" i="5"/>
  <c r="K22" i="4"/>
  <c r="K23" i="4" s="1"/>
  <c r="K3" i="4"/>
  <c r="K4" i="4" s="1"/>
  <c r="K5" i="4" s="1"/>
  <c r="K6" i="4" s="1"/>
  <c r="K7" i="4" s="1"/>
  <c r="K8" i="4" s="1"/>
  <c r="K9" i="4" s="1"/>
  <c r="AJ3" i="4"/>
  <c r="N20" i="4"/>
  <c r="N21" i="4"/>
  <c r="N37" i="4"/>
  <c r="N38" i="4"/>
  <c r="N39" i="4"/>
  <c r="N40" i="4"/>
  <c r="N41" i="4"/>
  <c r="N42" i="4"/>
  <c r="N43" i="4"/>
  <c r="N44" i="4"/>
  <c r="M2" i="4"/>
  <c r="M18" i="4"/>
  <c r="M19" i="4"/>
  <c r="M20" i="4"/>
  <c r="M39" i="4"/>
  <c r="M40" i="4"/>
  <c r="M41" i="4"/>
  <c r="M42" i="4"/>
  <c r="M43" i="4"/>
  <c r="M44" i="4"/>
  <c r="AJ2" i="2"/>
  <c r="M9" i="2"/>
  <c r="M8" i="2"/>
  <c r="AI3" i="2"/>
  <c r="AJ3" i="2" s="1"/>
  <c r="N8" i="2" s="1"/>
  <c r="AK2" i="4"/>
  <c r="L30" i="4"/>
  <c r="L22" i="4"/>
  <c r="L11" i="4"/>
  <c r="L3" i="4"/>
  <c r="L4" i="4" s="1"/>
  <c r="N15" i="2"/>
  <c r="N31" i="2"/>
  <c r="M15" i="2"/>
  <c r="M31" i="2"/>
  <c r="L4" i="2"/>
  <c r="K4" i="2"/>
  <c r="L31" i="5" l="1"/>
  <c r="N30" i="5"/>
  <c r="M30" i="5"/>
  <c r="M22" i="5"/>
  <c r="L23" i="5"/>
  <c r="N22" i="5"/>
  <c r="L13" i="5"/>
  <c r="N38" i="5"/>
  <c r="N29" i="5"/>
  <c r="AK3" i="5"/>
  <c r="L4" i="5"/>
  <c r="M3" i="5"/>
  <c r="K11" i="5"/>
  <c r="M10" i="5"/>
  <c r="M38" i="5"/>
  <c r="M29" i="5"/>
  <c r="M3" i="4"/>
  <c r="K10" i="4"/>
  <c r="M21" i="4"/>
  <c r="M38" i="4"/>
  <c r="M37" i="4"/>
  <c r="N22" i="4"/>
  <c r="M22" i="4"/>
  <c r="L5" i="4"/>
  <c r="M4" i="4"/>
  <c r="K24" i="4"/>
  <c r="M23" i="4"/>
  <c r="N9" i="2"/>
  <c r="AK3" i="4"/>
  <c r="N4" i="2"/>
  <c r="M3" i="2"/>
  <c r="N3" i="2"/>
  <c r="M4" i="2"/>
  <c r="N2" i="2"/>
  <c r="M2" i="2"/>
  <c r="L31" i="4"/>
  <c r="L23" i="4"/>
  <c r="N23" i="4" s="1"/>
  <c r="L12" i="4"/>
  <c r="L5" i="2"/>
  <c r="K5" i="2"/>
  <c r="K6" i="2" s="1"/>
  <c r="M31" i="5" l="1"/>
  <c r="N31" i="5"/>
  <c r="L32" i="5"/>
  <c r="N23" i="5"/>
  <c r="L24" i="5"/>
  <c r="M23" i="5"/>
  <c r="L14" i="5"/>
  <c r="N18" i="5"/>
  <c r="N11" i="5"/>
  <c r="N19" i="5"/>
  <c r="N10" i="5"/>
  <c r="N2" i="5"/>
  <c r="M4" i="5"/>
  <c r="N4" i="5"/>
  <c r="L5" i="5"/>
  <c r="K12" i="5"/>
  <c r="M11" i="5"/>
  <c r="N12" i="5"/>
  <c r="N3" i="5"/>
  <c r="M5" i="4"/>
  <c r="L6" i="4"/>
  <c r="M6" i="4" s="1"/>
  <c r="M10" i="4"/>
  <c r="K11" i="4"/>
  <c r="N11" i="4" s="1"/>
  <c r="K25" i="4"/>
  <c r="N2" i="4"/>
  <c r="N3" i="4"/>
  <c r="N4" i="4"/>
  <c r="N5" i="4"/>
  <c r="N6" i="4"/>
  <c r="N10" i="4"/>
  <c r="N18" i="4"/>
  <c r="N19" i="4"/>
  <c r="L7" i="4"/>
  <c r="N5" i="2"/>
  <c r="M5" i="2"/>
  <c r="L32" i="4"/>
  <c r="L24" i="4"/>
  <c r="L13" i="4"/>
  <c r="L6" i="2"/>
  <c r="M32" i="5" l="1"/>
  <c r="N32" i="5"/>
  <c r="L33" i="5"/>
  <c r="N24" i="5"/>
  <c r="M24" i="5"/>
  <c r="L25" i="5"/>
  <c r="L15" i="5"/>
  <c r="M5" i="5"/>
  <c r="N5" i="5"/>
  <c r="L6" i="5"/>
  <c r="M12" i="5"/>
  <c r="K13" i="5"/>
  <c r="M11" i="4"/>
  <c r="K12" i="4"/>
  <c r="N7" i="4"/>
  <c r="M7" i="4"/>
  <c r="M24" i="4"/>
  <c r="N24" i="4"/>
  <c r="K26" i="4"/>
  <c r="M25" i="4"/>
  <c r="N25" i="4"/>
  <c r="L8" i="4"/>
  <c r="N6" i="2"/>
  <c r="M6" i="2"/>
  <c r="L33" i="4"/>
  <c r="L25" i="4"/>
  <c r="L14" i="4"/>
  <c r="M33" i="5" l="1"/>
  <c r="N33" i="5"/>
  <c r="L34" i="5"/>
  <c r="N25" i="5"/>
  <c r="L26" i="5"/>
  <c r="M25" i="5"/>
  <c r="L16" i="5"/>
  <c r="M6" i="5"/>
  <c r="N6" i="5"/>
  <c r="L7" i="5"/>
  <c r="N13" i="5"/>
  <c r="M13" i="5"/>
  <c r="K14" i="5"/>
  <c r="N12" i="4"/>
  <c r="M12" i="4"/>
  <c r="K13" i="4"/>
  <c r="M8" i="4"/>
  <c r="N8" i="4"/>
  <c r="K27" i="4"/>
  <c r="L9" i="4"/>
  <c r="L34" i="4"/>
  <c r="L26" i="4"/>
  <c r="L15" i="4"/>
  <c r="M34" i="5" l="1"/>
  <c r="N34" i="5"/>
  <c r="L35" i="5"/>
  <c r="N26" i="5"/>
  <c r="L27" i="5"/>
  <c r="M26" i="5"/>
  <c r="L17" i="5"/>
  <c r="M7" i="5"/>
  <c r="N7" i="5"/>
  <c r="L8" i="5"/>
  <c r="M14" i="5"/>
  <c r="N14" i="5"/>
  <c r="K15" i="5"/>
  <c r="M13" i="4"/>
  <c r="K14" i="4"/>
  <c r="N13" i="4"/>
  <c r="M9" i="4"/>
  <c r="N9" i="4"/>
  <c r="N26" i="4"/>
  <c r="M26" i="4"/>
  <c r="K28" i="4"/>
  <c r="L35" i="4"/>
  <c r="L27" i="4"/>
  <c r="L16" i="4"/>
  <c r="M35" i="5" l="1"/>
  <c r="N35" i="5"/>
  <c r="L36" i="5"/>
  <c r="M27" i="5"/>
  <c r="N27" i="5"/>
  <c r="L28" i="5"/>
  <c r="L9" i="5"/>
  <c r="M8" i="5"/>
  <c r="N8" i="5"/>
  <c r="N15" i="5"/>
  <c r="M15" i="5"/>
  <c r="K16" i="5"/>
  <c r="N14" i="4"/>
  <c r="M14" i="4"/>
  <c r="K15" i="4"/>
  <c r="M27" i="4"/>
  <c r="N27" i="4"/>
  <c r="K29" i="4"/>
  <c r="L36" i="4"/>
  <c r="L28" i="4"/>
  <c r="L17" i="4"/>
  <c r="N36" i="5" l="1"/>
  <c r="M36" i="5"/>
  <c r="M28" i="5"/>
  <c r="N28" i="5"/>
  <c r="M9" i="5"/>
  <c r="N9" i="5"/>
  <c r="N16" i="5"/>
  <c r="M16" i="5"/>
  <c r="K17" i="5"/>
  <c r="N28" i="4"/>
  <c r="M28" i="4"/>
  <c r="M15" i="4"/>
  <c r="K16" i="4"/>
  <c r="N15" i="4"/>
  <c r="K30" i="4"/>
  <c r="M29" i="4"/>
  <c r="N29" i="4"/>
  <c r="N17" i="5" l="1"/>
  <c r="M17" i="5"/>
  <c r="M16" i="4"/>
  <c r="K17" i="4"/>
  <c r="N16" i="4"/>
  <c r="N30" i="4"/>
  <c r="K31" i="4"/>
  <c r="M30" i="4"/>
  <c r="M17" i="4" l="1"/>
  <c r="N17" i="4"/>
  <c r="K32" i="4"/>
  <c r="M31" i="4"/>
  <c r="N31" i="4"/>
  <c r="K33" i="4" l="1"/>
  <c r="M32" i="4"/>
  <c r="N32" i="4"/>
  <c r="K34" i="4" l="1"/>
  <c r="M33" i="4"/>
  <c r="N33" i="4"/>
  <c r="K35" i="4" l="1"/>
  <c r="M34" i="4"/>
  <c r="N34" i="4"/>
  <c r="K36" i="4" l="1"/>
  <c r="M35" i="4"/>
  <c r="N35" i="4"/>
  <c r="M36" i="4" l="1"/>
  <c r="N36" i="4"/>
</calcChain>
</file>

<file path=xl/sharedStrings.xml><?xml version="1.0" encoding="utf-8"?>
<sst xmlns="http://schemas.openxmlformats.org/spreadsheetml/2006/main" count="270" uniqueCount="61">
  <si>
    <t>Category</t>
  </si>
  <si>
    <t>Data Type</t>
  </si>
  <si>
    <t>I/O Address Side 1</t>
  </si>
  <si>
    <t>I/O Address Side 2</t>
  </si>
  <si>
    <t>Signal Name Side 1</t>
  </si>
  <si>
    <t>Signal Name Side 2</t>
  </si>
  <si>
    <t>Functional Unit</t>
  </si>
  <si>
    <t>Description</t>
  </si>
  <si>
    <t>Location</t>
  </si>
  <si>
    <t>Device</t>
  </si>
  <si>
    <t>WATCHDOG</t>
  </si>
  <si>
    <t>SAFETY_STATE</t>
  </si>
  <si>
    <t>SAFETY_ENCODER</t>
  </si>
  <si>
    <t>SORTER_STATE</t>
  </si>
  <si>
    <t>SORTER_COMMANDS</t>
  </si>
  <si>
    <t>BOOL</t>
  </si>
  <si>
    <t>I/O Bit</t>
  </si>
  <si>
    <t>I/O Offset Byte</t>
  </si>
  <si>
    <t>Side</t>
  </si>
  <si>
    <t>Base Node</t>
  </si>
  <si>
    <t>Base Address</t>
  </si>
  <si>
    <t>Input Format</t>
  </si>
  <si>
    <t>Output Format</t>
  </si>
  <si>
    <t>Direction &lt;/&gt;</t>
  </si>
  <si>
    <t>&gt;</t>
  </si>
  <si>
    <t>&lt;</t>
  </si>
  <si>
    <t>I&lt;base+offset&gt;/.&lt;bit&gt;</t>
  </si>
  <si>
    <t>WORD</t>
  </si>
  <si>
    <t>Index</t>
  </si>
  <si>
    <t>01</t>
  </si>
  <si>
    <t>Expression Side 1</t>
  </si>
  <si>
    <t>"Clock_1Hz"</t>
  </si>
  <si>
    <t>AREA</t>
  </si>
  <si>
    <t>DOORS</t>
  </si>
  <si>
    <t>BREAKERS</t>
  </si>
  <si>
    <t>ENCODER</t>
  </si>
  <si>
    <t>Column1</t>
  </si>
  <si>
    <t>Column2</t>
  </si>
  <si>
    <t>diag_cabinet</t>
  </si>
  <si>
    <t>swp_cabinet</t>
  </si>
  <si>
    <t>diag_bit</t>
  </si>
  <si>
    <t>Blinking 1Hz</t>
  </si>
  <si>
    <t>Awaiting EMERGENCY RESET for the area</t>
  </si>
  <si>
    <t>Sorter Running Soft-Feedback</t>
  </si>
  <si>
    <t>Commissioning-Only EMERGENCY_RESET command</t>
  </si>
  <si>
    <t>PNC_Q_SORTER-&lt;index&gt; HEARTBEAT</t>
  </si>
  <si>
    <t>PNC_Q_SORTER-&lt;index&gt; POWER ENABLED - NOT CUT</t>
  </si>
  <si>
    <t>PNC_Q_SORTER-&lt;index&gt; EMERGENCY READY TO RESET</t>
  </si>
  <si>
    <t>PNC_Q_SORTER-&lt;index&gt; EMERGENCY OK</t>
  </si>
  <si>
    <t>PNC_Q_SORTER-&lt;index&gt; SAFETY ENCODER FAILURE</t>
  </si>
  <si>
    <t>PNC_I_SORTER-&lt;index&gt; SORTER RUNNING</t>
  </si>
  <si>
    <t>PNC_I_SORTER-&lt;index&gt; EMERGENCY RESET</t>
  </si>
  <si>
    <t>Safety Circuit Energized  by PLC (READY)</t>
  </si>
  <si>
    <t>EMERGENCY Circuit Energized by PLC (READY)</t>
  </si>
  <si>
    <t>I&lt;size_modifier&gt;&lt;base+offset&gt;[.&lt;bit&gt;]</t>
  </si>
  <si>
    <t>EMERGENCY OK</t>
  </si>
  <si>
    <t>EMERGENCY AWAITING RESET</t>
  </si>
  <si>
    <t>Heartbit</t>
  </si>
  <si>
    <t>PNC_Q_INTERFACE-&lt;index&gt; HEARTBEAT</t>
  </si>
  <si>
    <t>PNC_Q_INTERFACE-&lt;index&gt; EMERGENCY OK</t>
  </si>
  <si>
    <t>PNC_Q_INTERFACE-&lt;index&gt; EMERGENCY AWAITING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</si>
</sst>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BankGothic Md BT"/>
      <family val="2"/>
    </font>
    <font>
      <b/>
      <sz val="11"/>
      <color theme="0"/>
      <name val="Arial Narrow"/>
      <family val="2"/>
    </font>
    <font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ankGothic Md BT"/>
        <family val="2"/>
        <scheme val="none"/>
      </font>
    </dxf>
    <dxf>
      <font>
        <b val="0"/>
        <strike val="0"/>
        <outline val="0"/>
        <shadow val="0"/>
        <u val="none"/>
        <vertAlign val="baseline"/>
        <color theme="1"/>
        <name val="Arial Narrow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77BB33-6EF5-41F1-97DF-E1B2FDE000E9}" name="Table136" displayName="Table136" ref="A1:Q44" totalsRowShown="0" headerRowDxfId="13">
  <autoFilter ref="A1:Q44" xr:uid="{BD5F56E4-42F7-4B47-A01A-6A36C5799C78}"/>
  <tableColumns count="17">
    <tableColumn id="1" xr3:uid="{C1A8CDCC-A977-4886-BD75-AE518474E3DF}" name="Category"/>
    <tableColumn id="2" xr3:uid="{5DF5A483-9B69-4A34-950D-FD862339F5B5}" name="Description"/>
    <tableColumn id="3" xr3:uid="{2D77446F-4A96-4A0E-86F2-00785222E9DC}" name="Functional Unit"/>
    <tableColumn id="4" xr3:uid="{B19EB3F8-2391-4531-B89C-314061DC326A}" name="Location"/>
    <tableColumn id="5" xr3:uid="{1B858B7E-BA05-4C61-B5D4-0AA69D52F51C}" name="Device"/>
    <tableColumn id="14" xr3:uid="{A0D05884-FE51-4F26-9BFB-DC99F3C11DAB}" name="diag_cabinet"/>
    <tableColumn id="15" xr3:uid="{0B35F2B8-384F-4944-A19C-869E6E21AEF3}" name="swp_cabinet"/>
    <tableColumn id="16" xr3:uid="{92602E6B-FECE-43AF-9AA4-05D451CFE77A}" name="diag_bit"/>
    <tableColumn id="6" xr3:uid="{190E8FA4-A5FF-4849-97AA-41F5BCAA1766}" name="Data Type"/>
    <tableColumn id="13" xr3:uid="{268EC156-9C71-463F-98E4-3C1B5A8CC9BF}" name="Direction &lt;/&gt;"/>
    <tableColumn id="11" xr3:uid="{00C51FB6-596D-4F73-BDB0-A3C40B7DA874}" name="I/O Offset Byte" dataDxfId="25"/>
    <tableColumn id="12" xr3:uid="{F936A1C3-04B9-4F63-BBC0-D4C67406CF83}" name="I/O Bit" dataDxfId="24"/>
    <tableColumn id="7" xr3:uid="{F926F189-4B16-4E3C-A067-9C08DCD9F7B9}" name="I/O Address Side 1" dataDxfId="23">
      <calculatedColumnFormula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calculatedColumnFormula>
    </tableColumn>
    <tableColumn id="8" xr3:uid="{73FDEC40-5CAB-4B64-BA28-16B9F9537BC7}" name="I/O Address Side 2" dataDxfId="22">
      <calculatedColumnFormula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calculatedColumnFormula>
    </tableColumn>
    <tableColumn id="9" xr3:uid="{64921BE1-61CF-4457-BC09-7707D51F2EAF}" name="Signal Name Side 1"/>
    <tableColumn id="17" xr3:uid="{4519B3A1-A37B-42C0-89FE-0ABCA400D135}" name="Expression Side 1"/>
    <tableColumn id="10" xr3:uid="{64BE5797-3C75-46D0-BD0E-7FD9D0B73556}" name="Signal Name Sid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4D3CD-2009-4D05-9865-F62CDA949DFB}" name="Table42" displayName="Table42" ref="AF1:AK3" headerRowDxfId="21" dataDxfId="20">
  <autoFilter ref="AF1:AK3" xr:uid="{0344D3CD-2009-4D05-9865-F62CDA949DFB}"/>
  <tableColumns count="6">
    <tableColumn id="1" xr3:uid="{107172B9-7F4A-4F64-8D8B-CCBCBA078E6A}" name="Side" totalsRowLabel="Total" dataDxfId="19"/>
    <tableColumn id="6" xr3:uid="{812BC246-EB7A-4D1D-8F07-82370622A660}" name="Index" dataDxfId="18"/>
    <tableColumn id="2" xr3:uid="{A374297D-8F14-48CC-B1A8-627D8EDA20AB}" name="Base Node" dataDxfId="17"/>
    <tableColumn id="3" xr3:uid="{9AB263BD-7BD3-4F20-B2D8-7B2C51D1008D}" name="Base Address" dataDxfId="16"/>
    <tableColumn id="4" xr3:uid="{DE6D9FCA-863D-42BF-8D1F-FA1F81EBF618}" name="Input Format" dataDxfId="15"/>
    <tableColumn id="5" xr3:uid="{72E1BF84-3370-434F-BE6D-E8E3C8339F1D}" name="Output Format" totalsRowFunction="count" dataDxfId="14">
      <calculatedColumnFormula>SUBSTITUTE(Table42[[#This Row],[Input Format]], "I", "Q")</calculatedColumnFormula>
    </tableColumn>
  </tableColumns>
  <tableStyleInfo name="TableStyleMedium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16194E-0729-47A9-8175-110B6465E684}" name="SORTER_SIGNALS" displayName="SORTER_SIGNALS" ref="A1:Q31" totalsRowShown="0" headerRowDxfId="46">
  <autoFilter ref="A1:Q31" xr:uid="{BD5F56E4-42F7-4B47-A01A-6A36C5799C78}"/>
  <tableColumns count="17">
    <tableColumn id="1" xr3:uid="{70AFEB14-C5E1-45B5-ACF7-FEA119CEAE3F}" name="Category"/>
    <tableColumn id="2" xr3:uid="{31CD88D7-D404-4FD1-B0A7-63DC92F748EB}" name="Description"/>
    <tableColumn id="3" xr3:uid="{CD17E971-CBFB-4819-984B-15E95230E7BA}" name="Functional Unit"/>
    <tableColumn id="4" xr3:uid="{26C9254A-88AA-424F-A480-78A5E7C2E038}" name="Location"/>
    <tableColumn id="5" xr3:uid="{1A4844D7-C1BA-4986-A65A-D47F84E7F24D}" name="Device"/>
    <tableColumn id="17" xr3:uid="{E2BA662C-1CD5-4D7D-A1BD-FFF5ACA0E9B9}" name="diag_cabinet"/>
    <tableColumn id="16" xr3:uid="{2322B289-9E4D-4C8C-B770-590A4F1138ED}" name="swp_cabinet"/>
    <tableColumn id="15" xr3:uid="{2AAA4789-08FA-4501-A2BA-1B0EE64B2B6D}" name="diag_bit"/>
    <tableColumn id="6" xr3:uid="{07406B08-87F7-430C-8CAC-28374B7E47F7}" name="Data Type"/>
    <tableColumn id="13" xr3:uid="{839D26DF-B1E4-434D-8ACC-2388AF9A234B}" name="Direction &lt;/&gt;"/>
    <tableColumn id="11" xr3:uid="{D9A92227-F013-4F6C-A588-9E9574C4CE1C}" name="I/O Offset Byte" dataDxfId="45"/>
    <tableColumn id="12" xr3:uid="{97652BB8-44DD-42EE-A425-E9378B3874F2}" name="I/O Bit" dataDxfId="44"/>
    <tableColumn id="7" xr3:uid="{20279FC3-8E91-4148-95EF-4F832327013B}" name="I/O Address Side 1" dataDxfId="43">
      <calculatedColumnFormula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calculatedColumnFormula>
    </tableColumn>
    <tableColumn id="8" xr3:uid="{B3774950-E106-4DC0-85A9-5D41FBC53BDD}" name="I/O Address Side 2" dataDxfId="42">
      <calculatedColumnFormula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calculatedColumnFormula>
    </tableColumn>
    <tableColumn id="9" xr3:uid="{E277C042-06B1-488A-8023-98334BC8CA03}" name="Signal Name Side 1"/>
    <tableColumn id="10" xr3:uid="{63179C02-3117-44E0-8ADF-E43A33471E53}" name="Expression Side 1"/>
    <tableColumn id="14" xr3:uid="{E894E139-42A3-47CD-8AEC-CDF0EF3B26FE}" name="Signal Name Side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EF310B-D2FF-409B-800B-32DEE4D09497}" name="SORTER_PARAMS" displayName="SORTER_PARAMS" ref="AE1:AJ3" headerRowDxfId="41" dataDxfId="40">
  <autoFilter ref="AE1:AJ3" xr:uid="{2DEF310B-D2FF-409B-800B-32DEE4D09497}"/>
  <tableColumns count="6">
    <tableColumn id="1" xr3:uid="{073AB027-DF21-429E-926A-E480A7A031D1}" name="Side" totalsRowLabel="Total" dataDxfId="39"/>
    <tableColumn id="6" xr3:uid="{33585E7D-84FF-42F5-8EAB-E70E60C79C49}" name="Index" dataDxfId="38"/>
    <tableColumn id="2" xr3:uid="{E9A844EA-1484-4738-9D81-B2D93ECAEF6F}" name="Base Node" dataDxfId="37"/>
    <tableColumn id="3" xr3:uid="{0BA6C34E-489A-43C6-91C7-062D0DAC2C94}" name="Base Address" dataDxfId="36"/>
    <tableColumn id="4" xr3:uid="{E9B04ED3-08FF-4717-9482-3B28E745B6E4}" name="Input Format" dataDxfId="35"/>
    <tableColumn id="5" xr3:uid="{4FAECBD4-19AA-49D2-8A36-6C2BE366A78C}" name="Output Format" totalsRowFunction="count" dataDxfId="34">
      <calculatedColumnFormula>SUBSTITUTE(SORTER_PARAMS[[#This Row],[Input Format]], "I", "Q")</calculatedColumnFormula>
    </tableColumn>
  </tableColumns>
  <tableStyleInfo name="TableStyleMedium8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A0F27A-5277-4288-B892-00BA3E02835B}" name="SORTER_EXTRA_DATA" displayName="SORTER_EXTRA_DATA" ref="AE5:AJ6" totalsRowShown="0" headerRowDxfId="33" dataDxfId="32">
  <autoFilter ref="AE5:AJ6" xr:uid="{49A0F27A-5277-4288-B892-00BA3E02835B}"/>
  <tableColumns count="6">
    <tableColumn id="1" xr3:uid="{9F6FA0BB-5313-45AE-BF79-7C2A89F0BC13}" name="AREA" dataDxfId="31"/>
    <tableColumn id="2" xr3:uid="{20505551-3E63-4E83-98EC-23E87B5A5366}" name="DOORS" dataDxfId="30"/>
    <tableColumn id="3" xr3:uid="{8FCE7592-ABD7-4D6D-ADF2-5F6E6A2890C8}" name="BREAKERS" dataDxfId="29"/>
    <tableColumn id="4" xr3:uid="{B8E1CD87-1E6B-42F0-9A53-8FC3654B50AD}" name="ENCODER" dataDxfId="28"/>
    <tableColumn id="5" xr3:uid="{62E2E8FD-B53C-493B-9B64-E4A3EDF20193}" name="Column1" dataDxfId="27"/>
    <tableColumn id="6" xr3:uid="{C231E184-6AEF-4E1B-B4CB-F8FB545E2992}" name="Column2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2DC014-79FA-48EC-AE3F-6E281BBC9A5D}" name="Table1367" displayName="Table1367" ref="A1:Q44" totalsRowShown="0" headerRowDxfId="12">
  <autoFilter ref="A1:Q44" xr:uid="{BD5F56E4-42F7-4B47-A01A-6A36C5799C78}"/>
  <tableColumns count="17">
    <tableColumn id="1" xr3:uid="{BF40257A-D5E9-42AA-ACD7-5E609B10E549}" name="Category"/>
    <tableColumn id="2" xr3:uid="{D3419BFF-9431-4FEA-B2AA-4350BD8BFFCE}" name="Description"/>
    <tableColumn id="3" xr3:uid="{D3521B18-4136-4426-9F39-6F7DA9B80A66}" name="Functional Unit"/>
    <tableColumn id="4" xr3:uid="{F9343961-226F-4544-92C9-B031EAF155D2}" name="Location"/>
    <tableColumn id="5" xr3:uid="{77B919BE-863B-4CB7-B3ED-D6D16C02A8AA}" name="Device"/>
    <tableColumn id="14" xr3:uid="{4FEA0DDB-6671-4679-8BEF-E1766416720E}" name="diag_cabinet"/>
    <tableColumn id="15" xr3:uid="{107C7640-03F2-4615-9938-FFFD5003719F}" name="swp_cabinet"/>
    <tableColumn id="16" xr3:uid="{AF56607E-3A3F-4C8D-9727-705075667358}" name="diag_bit"/>
    <tableColumn id="6" xr3:uid="{3007C89A-BCA5-4C6B-B711-C9896451CF77}" name="Data Type"/>
    <tableColumn id="13" xr3:uid="{89762F29-7FE6-4A56-87CE-BF3734E3518A}" name="Direction &lt;/&gt;"/>
    <tableColumn id="11" xr3:uid="{92573762-2B90-4941-860C-BBC44213E653}" name="I/O Offset Byte" dataDxfId="11"/>
    <tableColumn id="12" xr3:uid="{9E0B3C91-0C2F-4043-9EBC-6992A543F75A}" name="I/O Bit" dataDxfId="10"/>
    <tableColumn id="7" xr3:uid="{F5B0FA45-7DCF-4946-BA33-981D3BEF0DB9}" name="I/O Address Side 1" dataDxfId="9">
      <calculatedColumnFormula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calculatedColumnFormula>
    </tableColumn>
    <tableColumn id="8" xr3:uid="{A1E1F647-2DA1-409D-B24B-A50C02DFC00C}" name="I/O Address Side 2" dataDxfId="8">
      <calculatedColumnFormula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calculatedColumnFormula>
    </tableColumn>
    <tableColumn id="9" xr3:uid="{24579E60-BFCE-4D5B-BFF3-009981D11B40}" name="Signal Name Side 1"/>
    <tableColumn id="17" xr3:uid="{1775EA4F-4F37-485F-9A92-9AFF9C3238B1}" name="Expression Side 1"/>
    <tableColumn id="10" xr3:uid="{003F3D01-38F5-4078-94CD-63603C743A04}" name="Signal Name Side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EF9711-A8DC-44FB-BE8C-08132B48E35D}" name="Table428" displayName="Table428" ref="AF1:AK3" headerRowDxfId="7" dataDxfId="6">
  <autoFilter ref="AF1:AK3" xr:uid="{0344D3CD-2009-4D05-9865-F62CDA949DFB}"/>
  <tableColumns count="6">
    <tableColumn id="1" xr3:uid="{96A8273F-F914-4827-A42B-FCF4E77184D6}" name="Side" totalsRowLabel="Total" dataDxfId="5"/>
    <tableColumn id="6" xr3:uid="{0C04CAB8-224C-4293-8E4C-A87AEB679C56}" name="Index" dataDxfId="4"/>
    <tableColumn id="2" xr3:uid="{36378984-2B5D-499E-88B7-5C71ED14242C}" name="Base Node" dataDxfId="3"/>
    <tableColumn id="3" xr3:uid="{E82EFBE0-23F4-432A-B30B-B25299899AF1}" name="Base Address" dataDxfId="2"/>
    <tableColumn id="4" xr3:uid="{04B965B2-F427-4422-BE88-7CA6612340C8}" name="Input Format" dataDxfId="1"/>
    <tableColumn id="5" xr3:uid="{88B64D19-901C-4A8F-8358-DAF66F0DE555}" name="Output Format" totalsRowFunction="count" dataDxfId="0">
      <calculatedColumnFormula>SUBSTITUTE(Table428[[#This Row],[Input Format]], "I", "Q")</calculatedColumnFormula>
    </tableColumn>
  </tableColumns>
  <tableStyleInfo name="TableStyleMedium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8">
    <wetp:webextensionref xmlns:r="http://schemas.openxmlformats.org/officeDocument/2006/relationships" r:id="rId1"/>
  </wetp:taskpane>
  <wetp:taskpane dockstate="right" visibility="0" width="364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13ACF0E-1B63-49CF-A892-66DB792AFF11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2CA9589A-BCC7-4FE5-AE15-D846DD500B13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6BD391F-8382-4AC9-AF3C-D82E77B52C88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a2c59ec-2b25-43bd-a5fa-0624694a6f6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1F43-BC13-4BF4-AB06-2D56E6346394}">
  <dimension ref="A1:AK44"/>
  <sheetViews>
    <sheetView topLeftCell="A11" zoomScale="146" workbookViewId="0">
      <selection activeCell="M15" sqref="M15"/>
    </sheetView>
  </sheetViews>
  <sheetFormatPr defaultRowHeight="15" x14ac:dyDescent="0.25"/>
  <cols>
    <col min="1" max="1" width="13.42578125" bestFit="1" customWidth="1"/>
    <col min="2" max="2" width="15.7109375" bestFit="1" customWidth="1"/>
    <col min="3" max="3" width="9.28515625" customWidth="1"/>
    <col min="4" max="4" width="8.42578125" customWidth="1"/>
    <col min="5" max="5" width="6.7109375" customWidth="1"/>
    <col min="6" max="6" width="9.85546875" customWidth="1"/>
    <col min="7" max="7" width="10.28515625" customWidth="1"/>
    <col min="8" max="8" width="10.42578125" customWidth="1"/>
    <col min="9" max="10" width="7.5703125" customWidth="1"/>
    <col min="11" max="11" width="8.7109375" customWidth="1"/>
    <col min="12" max="12" width="5.7109375" customWidth="1"/>
    <col min="13" max="13" width="18.140625" customWidth="1"/>
    <col min="14" max="14" width="16.140625" customWidth="1"/>
    <col min="15" max="15" width="48.85546875" customWidth="1"/>
    <col min="16" max="16" width="23.7109375" customWidth="1"/>
    <col min="17" max="17" width="23.28515625" customWidth="1"/>
    <col min="18" max="27" width="2.85546875" customWidth="1"/>
    <col min="28" max="28" width="9.42578125" bestFit="1" customWidth="1"/>
    <col min="29" max="29" width="6.7109375" customWidth="1"/>
    <col min="30" max="31" width="9.140625" customWidth="1"/>
    <col min="32" max="32" width="56.140625" customWidth="1"/>
    <col min="33" max="33" width="45.140625" bestFit="1" customWidth="1"/>
  </cols>
  <sheetData>
    <row r="1" spans="1:37" ht="32.25" customHeight="1" x14ac:dyDescent="0.25">
      <c r="A1" s="2" t="s">
        <v>0</v>
      </c>
      <c r="B1" s="2" t="s">
        <v>7</v>
      </c>
      <c r="C1" s="3" t="s">
        <v>6</v>
      </c>
      <c r="D1" s="3" t="s">
        <v>8</v>
      </c>
      <c r="E1" s="3" t="s">
        <v>9</v>
      </c>
      <c r="F1" s="12" t="s">
        <v>38</v>
      </c>
      <c r="G1" s="12" t="s">
        <v>39</v>
      </c>
      <c r="H1" s="12" t="s">
        <v>40</v>
      </c>
      <c r="I1" s="4" t="s">
        <v>1</v>
      </c>
      <c r="J1" s="4" t="s">
        <v>23</v>
      </c>
      <c r="K1" s="3" t="s">
        <v>17</v>
      </c>
      <c r="L1" s="3" t="s">
        <v>16</v>
      </c>
      <c r="M1" s="3" t="s">
        <v>2</v>
      </c>
      <c r="N1" s="3" t="s">
        <v>3</v>
      </c>
      <c r="O1" s="2" t="s">
        <v>4</v>
      </c>
      <c r="P1" s="2" t="s">
        <v>30</v>
      </c>
      <c r="Q1" s="2" t="s">
        <v>5</v>
      </c>
      <c r="AF1" s="2" t="s">
        <v>18</v>
      </c>
      <c r="AG1" s="2" t="s">
        <v>28</v>
      </c>
      <c r="AH1" s="2" t="s">
        <v>19</v>
      </c>
      <c r="AI1" s="2" t="s">
        <v>20</v>
      </c>
      <c r="AJ1" s="2" t="s">
        <v>21</v>
      </c>
      <c r="AK1" s="2" t="s">
        <v>22</v>
      </c>
    </row>
    <row r="2" spans="1:37" x14ac:dyDescent="0.25">
      <c r="I2" t="s">
        <v>15</v>
      </c>
      <c r="J2" s="1" t="s">
        <v>25</v>
      </c>
      <c r="K2" s="8">
        <v>0</v>
      </c>
      <c r="L2" s="8">
        <v>0</v>
      </c>
      <c r="M2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I10000.0</v>
      </c>
      <c r="N2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Q.10.0.0</v>
      </c>
      <c r="AF2" s="5">
        <v>1</v>
      </c>
      <c r="AG2" s="9" t="s">
        <v>29</v>
      </c>
      <c r="AH2" s="5">
        <v>10</v>
      </c>
      <c r="AI2" s="5">
        <v>10000</v>
      </c>
      <c r="AJ2" s="5" t="s">
        <v>54</v>
      </c>
      <c r="AK2" s="5" t="str">
        <f>SUBSTITUTE(Table42[[#This Row],[Input Format]], "I", "Q")</f>
        <v>Q&lt;size_modifier&gt;&lt;base+offset&gt;[.&lt;bit&gt;]</v>
      </c>
    </row>
    <row r="3" spans="1:37" x14ac:dyDescent="0.25">
      <c r="I3" t="s">
        <v>15</v>
      </c>
      <c r="J3" s="1" t="s">
        <v>25</v>
      </c>
      <c r="K3" s="8">
        <f>K2</f>
        <v>0</v>
      </c>
      <c r="L3" s="8">
        <f>L2+1</f>
        <v>1</v>
      </c>
      <c r="M3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I10000.1</v>
      </c>
      <c r="N3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Q.10.0.1</v>
      </c>
      <c r="AF3" s="5">
        <v>2</v>
      </c>
      <c r="AG3" s="9" t="s">
        <v>29</v>
      </c>
      <c r="AH3" s="5">
        <v>10</v>
      </c>
      <c r="AI3" s="5">
        <v>0</v>
      </c>
      <c r="AJ3" s="5" t="str">
        <f>"I." &amp;Table42[[#This Row],[Base Node]] &amp;".&lt;base+offset&gt;.&lt;bit&gt;"</f>
        <v>I.10.&lt;base+offset&gt;.&lt;bit&gt;</v>
      </c>
      <c r="AK3" s="5" t="str">
        <f>SUBSTITUTE(Table42[[#This Row],[Input Format]], "I", "Q")</f>
        <v>Q.10.&lt;base+offset&gt;.&lt;bit&gt;</v>
      </c>
    </row>
    <row r="4" spans="1:37" x14ac:dyDescent="0.25">
      <c r="I4" t="s">
        <v>15</v>
      </c>
      <c r="J4" s="1" t="s">
        <v>25</v>
      </c>
      <c r="K4" s="8">
        <f t="shared" ref="K4:K17" si="0">K3</f>
        <v>0</v>
      </c>
      <c r="L4" s="8">
        <f t="shared" ref="L4:L9" si="1">L3+1</f>
        <v>2</v>
      </c>
      <c r="M4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I10000.2</v>
      </c>
      <c r="N4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Q.10.0.2</v>
      </c>
    </row>
    <row r="5" spans="1:37" x14ac:dyDescent="0.25">
      <c r="I5" t="s">
        <v>15</v>
      </c>
      <c r="J5" s="1" t="s">
        <v>25</v>
      </c>
      <c r="K5" s="8">
        <f t="shared" si="0"/>
        <v>0</v>
      </c>
      <c r="L5" s="8">
        <f t="shared" si="1"/>
        <v>3</v>
      </c>
      <c r="M5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I10000.3</v>
      </c>
      <c r="N5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Q.10.0.3</v>
      </c>
    </row>
    <row r="6" spans="1:37" x14ac:dyDescent="0.25">
      <c r="I6" t="s">
        <v>15</v>
      </c>
      <c r="J6" s="1" t="s">
        <v>25</v>
      </c>
      <c r="K6" s="8">
        <f t="shared" si="0"/>
        <v>0</v>
      </c>
      <c r="L6" s="8">
        <f t="shared" si="1"/>
        <v>4</v>
      </c>
      <c r="M6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I10000.4</v>
      </c>
      <c r="N6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Q.10.0.4</v>
      </c>
    </row>
    <row r="7" spans="1:37" x14ac:dyDescent="0.25">
      <c r="I7" t="s">
        <v>15</v>
      </c>
      <c r="J7" s="1" t="s">
        <v>25</v>
      </c>
      <c r="K7" s="8">
        <f t="shared" si="0"/>
        <v>0</v>
      </c>
      <c r="L7" s="8">
        <f t="shared" si="1"/>
        <v>5</v>
      </c>
      <c r="M7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I10000.5</v>
      </c>
      <c r="N7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Q.10.0.5</v>
      </c>
    </row>
    <row r="8" spans="1:37" x14ac:dyDescent="0.25">
      <c r="I8" t="s">
        <v>15</v>
      </c>
      <c r="J8" s="1" t="s">
        <v>25</v>
      </c>
      <c r="K8" s="8">
        <f t="shared" si="0"/>
        <v>0</v>
      </c>
      <c r="L8" s="8">
        <f t="shared" si="1"/>
        <v>6</v>
      </c>
      <c r="M8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I10000.6</v>
      </c>
      <c r="N8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Q.10.0.6</v>
      </c>
    </row>
    <row r="9" spans="1:37" x14ac:dyDescent="0.25">
      <c r="I9" t="s">
        <v>15</v>
      </c>
      <c r="J9" s="1" t="s">
        <v>25</v>
      </c>
      <c r="K9" s="8">
        <f t="shared" si="0"/>
        <v>0</v>
      </c>
      <c r="L9" s="8">
        <f t="shared" si="1"/>
        <v>7</v>
      </c>
      <c r="M9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I10000.7</v>
      </c>
      <c r="N9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Q.10.0.7</v>
      </c>
    </row>
    <row r="10" spans="1:37" x14ac:dyDescent="0.25">
      <c r="I10" t="s">
        <v>15</v>
      </c>
      <c r="J10" s="1" t="s">
        <v>25</v>
      </c>
      <c r="K10" s="8">
        <f>K9+1</f>
        <v>1</v>
      </c>
      <c r="L10" s="8">
        <v>0</v>
      </c>
      <c r="M10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I10001.0</v>
      </c>
      <c r="N10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Q.10.1.0</v>
      </c>
    </row>
    <row r="11" spans="1:37" x14ac:dyDescent="0.25">
      <c r="I11" t="s">
        <v>15</v>
      </c>
      <c r="J11" s="1" t="s">
        <v>25</v>
      </c>
      <c r="K11" s="8">
        <f t="shared" si="0"/>
        <v>1</v>
      </c>
      <c r="L11" s="8">
        <f>L10+1</f>
        <v>1</v>
      </c>
      <c r="M11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I10001.1</v>
      </c>
      <c r="N11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Q.10.1.1</v>
      </c>
    </row>
    <row r="12" spans="1:37" x14ac:dyDescent="0.25">
      <c r="I12" t="s">
        <v>15</v>
      </c>
      <c r="J12" s="1" t="s">
        <v>25</v>
      </c>
      <c r="K12" s="8">
        <f t="shared" si="0"/>
        <v>1</v>
      </c>
      <c r="L12" s="8">
        <f t="shared" ref="L12:L17" si="2">L11+1</f>
        <v>2</v>
      </c>
      <c r="M12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I10001.2</v>
      </c>
      <c r="N12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Q.10.1.2</v>
      </c>
    </row>
    <row r="13" spans="1:37" x14ac:dyDescent="0.25">
      <c r="I13" t="s">
        <v>15</v>
      </c>
      <c r="J13" s="1" t="s">
        <v>25</v>
      </c>
      <c r="K13" s="8">
        <f t="shared" si="0"/>
        <v>1</v>
      </c>
      <c r="L13" s="8">
        <f t="shared" si="2"/>
        <v>3</v>
      </c>
      <c r="M13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I10001.3</v>
      </c>
      <c r="N13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Q.10.1.3</v>
      </c>
    </row>
    <row r="14" spans="1:37" x14ac:dyDescent="0.25">
      <c r="I14" t="s">
        <v>15</v>
      </c>
      <c r="J14" s="1" t="s">
        <v>25</v>
      </c>
      <c r="K14" s="8">
        <f t="shared" si="0"/>
        <v>1</v>
      </c>
      <c r="L14" s="8">
        <f t="shared" si="2"/>
        <v>4</v>
      </c>
      <c r="M14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I10001.4</v>
      </c>
      <c r="N14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Q.10.1.4</v>
      </c>
    </row>
    <row r="15" spans="1:37" x14ac:dyDescent="0.25">
      <c r="I15" t="s">
        <v>15</v>
      </c>
      <c r="J15" s="1" t="s">
        <v>25</v>
      </c>
      <c r="K15" s="8">
        <f t="shared" si="0"/>
        <v>1</v>
      </c>
      <c r="L15" s="8">
        <f t="shared" si="2"/>
        <v>5</v>
      </c>
      <c r="M15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I10001.5</v>
      </c>
      <c r="N15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Q.10.1.5</v>
      </c>
    </row>
    <row r="16" spans="1:37" x14ac:dyDescent="0.25">
      <c r="I16" t="s">
        <v>15</v>
      </c>
      <c r="J16" s="1" t="s">
        <v>25</v>
      </c>
      <c r="K16" s="8">
        <f t="shared" si="0"/>
        <v>1</v>
      </c>
      <c r="L16" s="8">
        <f t="shared" si="2"/>
        <v>6</v>
      </c>
      <c r="M16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I10001.6</v>
      </c>
      <c r="N16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Q.10.1.6</v>
      </c>
    </row>
    <row r="17" spans="9:14" x14ac:dyDescent="0.25">
      <c r="I17" t="s">
        <v>15</v>
      </c>
      <c r="J17" s="1" t="s">
        <v>25</v>
      </c>
      <c r="K17" s="8">
        <f t="shared" si="0"/>
        <v>1</v>
      </c>
      <c r="L17" s="8">
        <f t="shared" si="2"/>
        <v>7</v>
      </c>
      <c r="M17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I10001.7</v>
      </c>
      <c r="N17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Q.10.1.7</v>
      </c>
    </row>
    <row r="18" spans="9:14" x14ac:dyDescent="0.25">
      <c r="I18" t="s">
        <v>27</v>
      </c>
      <c r="J18" s="1" t="s">
        <v>25</v>
      </c>
      <c r="K18" s="8">
        <v>4</v>
      </c>
      <c r="L18" s="8"/>
      <c r="M18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IW10004</v>
      </c>
      <c r="N18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Q.10.4.0</v>
      </c>
    </row>
    <row r="19" spans="9:14" x14ac:dyDescent="0.25">
      <c r="I19" t="s">
        <v>27</v>
      </c>
      <c r="J19" s="1" t="s">
        <v>25</v>
      </c>
      <c r="K19" s="8">
        <v>6</v>
      </c>
      <c r="L19" s="8"/>
      <c r="M19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IW10006</v>
      </c>
      <c r="N19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Q.10.6.0</v>
      </c>
    </row>
    <row r="20" spans="9:14" x14ac:dyDescent="0.25">
      <c r="J20" s="1"/>
      <c r="K20" s="8"/>
      <c r="L20" s="8"/>
      <c r="M20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  <c r="N20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</row>
    <row r="21" spans="9:14" x14ac:dyDescent="0.25">
      <c r="I21" t="s">
        <v>15</v>
      </c>
      <c r="J21" s="1" t="s">
        <v>24</v>
      </c>
      <c r="K21" s="8">
        <v>0</v>
      </c>
      <c r="L21" s="8">
        <v>0</v>
      </c>
      <c r="M21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Q10000.0</v>
      </c>
      <c r="N21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I.10.0.0</v>
      </c>
    </row>
    <row r="22" spans="9:14" x14ac:dyDescent="0.25">
      <c r="I22" t="s">
        <v>15</v>
      </c>
      <c r="J22" s="1" t="s">
        <v>24</v>
      </c>
      <c r="K22" s="8">
        <f>K21</f>
        <v>0</v>
      </c>
      <c r="L22" s="8">
        <f>L21+1</f>
        <v>1</v>
      </c>
      <c r="M22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Q10000.1</v>
      </c>
      <c r="N22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I.10.0.1</v>
      </c>
    </row>
    <row r="23" spans="9:14" x14ac:dyDescent="0.25">
      <c r="I23" t="s">
        <v>15</v>
      </c>
      <c r="J23" s="1" t="s">
        <v>24</v>
      </c>
      <c r="K23" s="8">
        <f t="shared" ref="K23:K36" si="3">K22</f>
        <v>0</v>
      </c>
      <c r="L23" s="8">
        <f t="shared" ref="L23:L28" si="4">L22+1</f>
        <v>2</v>
      </c>
      <c r="M23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Q10000.2</v>
      </c>
      <c r="N23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I.10.0.2</v>
      </c>
    </row>
    <row r="24" spans="9:14" x14ac:dyDescent="0.25">
      <c r="I24" t="s">
        <v>15</v>
      </c>
      <c r="J24" s="1" t="s">
        <v>24</v>
      </c>
      <c r="K24" s="8">
        <f t="shared" si="3"/>
        <v>0</v>
      </c>
      <c r="L24" s="8">
        <f t="shared" si="4"/>
        <v>3</v>
      </c>
      <c r="M24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Q10000.3</v>
      </c>
      <c r="N24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I.10.0.3</v>
      </c>
    </row>
    <row r="25" spans="9:14" x14ac:dyDescent="0.25">
      <c r="I25" t="s">
        <v>15</v>
      </c>
      <c r="J25" s="1" t="s">
        <v>24</v>
      </c>
      <c r="K25" s="8">
        <f t="shared" si="3"/>
        <v>0</v>
      </c>
      <c r="L25" s="8">
        <f t="shared" si="4"/>
        <v>4</v>
      </c>
      <c r="M25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Q10000.4</v>
      </c>
      <c r="N25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I.10.0.4</v>
      </c>
    </row>
    <row r="26" spans="9:14" x14ac:dyDescent="0.25">
      <c r="I26" t="s">
        <v>15</v>
      </c>
      <c r="J26" s="1" t="s">
        <v>24</v>
      </c>
      <c r="K26" s="8">
        <f t="shared" si="3"/>
        <v>0</v>
      </c>
      <c r="L26" s="8">
        <f t="shared" si="4"/>
        <v>5</v>
      </c>
      <c r="M26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Q10000.5</v>
      </c>
      <c r="N26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I.10.0.5</v>
      </c>
    </row>
    <row r="27" spans="9:14" x14ac:dyDescent="0.25">
      <c r="I27" t="s">
        <v>15</v>
      </c>
      <c r="J27" s="1" t="s">
        <v>24</v>
      </c>
      <c r="K27" s="8">
        <f t="shared" si="3"/>
        <v>0</v>
      </c>
      <c r="L27" s="8">
        <f t="shared" si="4"/>
        <v>6</v>
      </c>
      <c r="M27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Q10000.6</v>
      </c>
      <c r="N27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I.10.0.6</v>
      </c>
    </row>
    <row r="28" spans="9:14" x14ac:dyDescent="0.25">
      <c r="I28" t="s">
        <v>15</v>
      </c>
      <c r="J28" s="1" t="s">
        <v>24</v>
      </c>
      <c r="K28" s="8">
        <f t="shared" si="3"/>
        <v>0</v>
      </c>
      <c r="L28" s="8">
        <f t="shared" si="4"/>
        <v>7</v>
      </c>
      <c r="M28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Q10000.7</v>
      </c>
      <c r="N28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I.10.0.7</v>
      </c>
    </row>
    <row r="29" spans="9:14" x14ac:dyDescent="0.25">
      <c r="I29" t="s">
        <v>15</v>
      </c>
      <c r="J29" s="1" t="s">
        <v>24</v>
      </c>
      <c r="K29" s="8">
        <f>K28+1</f>
        <v>1</v>
      </c>
      <c r="L29" s="8">
        <v>0</v>
      </c>
      <c r="M29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Q10001.0</v>
      </c>
      <c r="N29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I.10.1.0</v>
      </c>
    </row>
    <row r="30" spans="9:14" x14ac:dyDescent="0.25">
      <c r="I30" t="s">
        <v>15</v>
      </c>
      <c r="J30" s="1" t="s">
        <v>24</v>
      </c>
      <c r="K30" s="8">
        <f t="shared" si="3"/>
        <v>1</v>
      </c>
      <c r="L30" s="8">
        <f>L29+1</f>
        <v>1</v>
      </c>
      <c r="M30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Q10001.1</v>
      </c>
      <c r="N30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I.10.1.1</v>
      </c>
    </row>
    <row r="31" spans="9:14" x14ac:dyDescent="0.25">
      <c r="I31" t="s">
        <v>15</v>
      </c>
      <c r="J31" s="1" t="s">
        <v>24</v>
      </c>
      <c r="K31" s="8">
        <f t="shared" si="3"/>
        <v>1</v>
      </c>
      <c r="L31" s="8">
        <f t="shared" ref="L31:L36" si="5">L30+1</f>
        <v>2</v>
      </c>
      <c r="M31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Q10001.2</v>
      </c>
      <c r="N31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I.10.1.2</v>
      </c>
    </row>
    <row r="32" spans="9:14" x14ac:dyDescent="0.25">
      <c r="I32" t="s">
        <v>15</v>
      </c>
      <c r="J32" s="1" t="s">
        <v>24</v>
      </c>
      <c r="K32" s="8">
        <f t="shared" si="3"/>
        <v>1</v>
      </c>
      <c r="L32" s="8">
        <f t="shared" si="5"/>
        <v>3</v>
      </c>
      <c r="M32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Q10001.3</v>
      </c>
      <c r="N32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I.10.1.3</v>
      </c>
    </row>
    <row r="33" spans="9:14" x14ac:dyDescent="0.25">
      <c r="I33" t="s">
        <v>15</v>
      </c>
      <c r="J33" s="1" t="s">
        <v>24</v>
      </c>
      <c r="K33" s="8">
        <f t="shared" si="3"/>
        <v>1</v>
      </c>
      <c r="L33" s="8">
        <f t="shared" si="5"/>
        <v>4</v>
      </c>
      <c r="M33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Q10001.4</v>
      </c>
      <c r="N33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I.10.1.4</v>
      </c>
    </row>
    <row r="34" spans="9:14" x14ac:dyDescent="0.25">
      <c r="I34" t="s">
        <v>15</v>
      </c>
      <c r="J34" s="1" t="s">
        <v>24</v>
      </c>
      <c r="K34" s="8">
        <f t="shared" si="3"/>
        <v>1</v>
      </c>
      <c r="L34" s="8">
        <f t="shared" si="5"/>
        <v>5</v>
      </c>
      <c r="M34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Q10001.5</v>
      </c>
      <c r="N34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I.10.1.5</v>
      </c>
    </row>
    <row r="35" spans="9:14" x14ac:dyDescent="0.25">
      <c r="I35" t="s">
        <v>15</v>
      </c>
      <c r="J35" s="1" t="s">
        <v>24</v>
      </c>
      <c r="K35" s="8">
        <f t="shared" si="3"/>
        <v>1</v>
      </c>
      <c r="L35" s="8">
        <f t="shared" si="5"/>
        <v>6</v>
      </c>
      <c r="M35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Q10001.6</v>
      </c>
      <c r="N35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I.10.1.6</v>
      </c>
    </row>
    <row r="36" spans="9:14" x14ac:dyDescent="0.25">
      <c r="I36" t="s">
        <v>15</v>
      </c>
      <c r="J36" s="1" t="s">
        <v>24</v>
      </c>
      <c r="K36" s="8">
        <f t="shared" si="3"/>
        <v>1</v>
      </c>
      <c r="L36" s="8">
        <f t="shared" si="5"/>
        <v>7</v>
      </c>
      <c r="M36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Q10001.7</v>
      </c>
      <c r="N36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I.10.1.7</v>
      </c>
    </row>
    <row r="37" spans="9:14" x14ac:dyDescent="0.25">
      <c r="I37" t="s">
        <v>27</v>
      </c>
      <c r="J37" s="1" t="s">
        <v>24</v>
      </c>
      <c r="K37" s="7">
        <v>4</v>
      </c>
      <c r="L37" s="7"/>
      <c r="M37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QW10004</v>
      </c>
      <c r="N37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I.10.4.0</v>
      </c>
    </row>
    <row r="38" spans="9:14" x14ac:dyDescent="0.25">
      <c r="I38" t="s">
        <v>27</v>
      </c>
      <c r="J38" s="1" t="s">
        <v>24</v>
      </c>
      <c r="K38" s="7">
        <v>6</v>
      </c>
      <c r="L38" s="7"/>
      <c r="M38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QW10006</v>
      </c>
      <c r="N38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>I.10.6.0</v>
      </c>
    </row>
    <row r="39" spans="9:14" x14ac:dyDescent="0.25">
      <c r="K39" s="7"/>
      <c r="L39" s="7"/>
      <c r="M39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  <c r="N39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</row>
    <row r="40" spans="9:14" x14ac:dyDescent="0.25">
      <c r="K40" s="7"/>
      <c r="L40" s="7"/>
      <c r="M40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  <c r="N40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</row>
    <row r="41" spans="9:14" x14ac:dyDescent="0.25">
      <c r="K41" s="7"/>
      <c r="L41" s="7"/>
      <c r="M41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  <c r="N41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</row>
    <row r="42" spans="9:14" x14ac:dyDescent="0.25">
      <c r="K42" s="7"/>
      <c r="L42" s="7"/>
      <c r="M42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  <c r="N42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</row>
    <row r="43" spans="9:14" x14ac:dyDescent="0.25">
      <c r="K43" s="7"/>
      <c r="L43" s="7"/>
      <c r="M43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  <c r="N43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</row>
    <row r="44" spans="9:14" x14ac:dyDescent="0.25">
      <c r="K44" s="7"/>
      <c r="L44" s="7"/>
      <c r="M44" s="7" t="str">
        <f>_xlfn.LET(
    _xlpm.iSynt, INDEX(Table42[Input Format], 1),
    _xlpm.qSynt, INDEX(Table42[Output Format], 1),
    _xlpm.baseAddr, INDEX(Table42[Base Address], 1),
    _xlpm.isBool, Table136[[#This Row],[Data Type]] = "BOOL",
    _xlpm.bit, IF(Table136[[#This Row],[I/O Bit]] = "", 0, Table136[[#This Row],[I/O Bit]]),
    _xlpm.synt, IF(Table136[[#This Row],[Direction &lt;/&gt;]] = "&lt;", _xlpm.iSynt, IF(Table136[[#This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  <c r="N44" s="7" t="str">
        <f>_xlfn.LET(
    _xlpm.iSynt, INDEX(Table42[Input Format], 2),
    _xlpm.qSynt, INDEX(Table42[Output Format], 2),
    _xlpm.baseAddr, INDEX(Table42[Base Address], 2),
    _xlpm.isBool, Table136[[#This Row],[Data Type]] = "BOOL",
    _xlpm.bit, IF(Table136[[#This Row],[I/O Bit]] = "", 0, Table136[[#This Row],[I/O Bit]]),
    _xlpm.synt, IF(Table136[[#This Row],[Direction &lt;/&gt;]] = "&gt;", _xlpm.iSynt, IF(Table136[[#This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LEFT(Table136[[#This Row],[Data Type]], 1)),
    IF(
        _xlpm.synt &lt;&gt; "",
        SUBSTITUTE(SUBSTITUTE(SUBSTITUTE(_xlpm.optional,
            "&lt;size_modifier&gt;", _xlpm.sizeMod),
            "&lt;base+offset&gt;", _xlpm.baseAddr + Table136[[#This Row],[I/O Offset Byte]]),
            "&lt;bit&gt;", _xlpm.bit),
        ""
    )
)</f>
        <v/>
      </c>
    </row>
  </sheetData>
  <phoneticPr fontId="1" type="noConversion"/>
  <pageMargins left="0.7" right="0.7" top="0.75" bottom="0.75" header="0.3" footer="0.3"/>
  <headerFooter>
    <oddHeader>&amp;L&amp;"Aptos"&amp;10&amp;K000000 Public&amp;1#_x000D_</oddHeader>
  </headerFooter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05C2-AC71-43CC-94FB-0554D3241B01}">
  <dimension ref="A1:AJ31"/>
  <sheetViews>
    <sheetView topLeftCell="H1" zoomScale="146" workbookViewId="0">
      <selection activeCell="O2" sqref="O2"/>
    </sheetView>
  </sheetViews>
  <sheetFormatPr defaultRowHeight="15" x14ac:dyDescent="0.25"/>
  <cols>
    <col min="1" max="1" width="20.28515625" bestFit="1" customWidth="1"/>
    <col min="2" max="2" width="50" customWidth="1"/>
    <col min="3" max="3" width="9.28515625" customWidth="1"/>
    <col min="4" max="4" width="8.42578125" customWidth="1"/>
    <col min="5" max="5" width="6.7109375" customWidth="1"/>
    <col min="6" max="6" width="9.85546875" bestFit="1" customWidth="1"/>
    <col min="7" max="7" width="10.28515625" bestFit="1" customWidth="1"/>
    <col min="8" max="8" width="10.42578125" bestFit="1" customWidth="1"/>
    <col min="9" max="10" width="7.5703125" customWidth="1"/>
    <col min="11" max="11" width="8.7109375" customWidth="1"/>
    <col min="12" max="12" width="5.7109375" customWidth="1"/>
    <col min="13" max="13" width="18.140625" bestFit="1" customWidth="1"/>
    <col min="14" max="14" width="16.140625" customWidth="1"/>
    <col min="15" max="15" width="48.85546875" bestFit="1" customWidth="1"/>
    <col min="16" max="16" width="23.7109375" customWidth="1"/>
    <col min="17" max="17" width="23.28515625" customWidth="1"/>
    <col min="18" max="30" width="2.85546875" customWidth="1"/>
    <col min="31" max="31" width="8.5703125" customWidth="1"/>
    <col min="32" max="32" width="10.140625" customWidth="1"/>
    <col min="33" max="33" width="11.28515625" customWidth="1"/>
    <col min="34" max="34" width="10.28515625" customWidth="1"/>
    <col min="35" max="35" width="34" customWidth="1"/>
    <col min="36" max="36" width="35.7109375" customWidth="1"/>
  </cols>
  <sheetData>
    <row r="1" spans="1:36" ht="32.25" customHeight="1" x14ac:dyDescent="0.25">
      <c r="A1" s="2" t="s">
        <v>0</v>
      </c>
      <c r="B1" s="2" t="s">
        <v>7</v>
      </c>
      <c r="C1" s="3" t="s">
        <v>6</v>
      </c>
      <c r="D1" s="3" t="s">
        <v>8</v>
      </c>
      <c r="E1" s="3" t="s">
        <v>9</v>
      </c>
      <c r="F1" s="12" t="s">
        <v>38</v>
      </c>
      <c r="G1" s="12" t="s">
        <v>39</v>
      </c>
      <c r="H1" s="12" t="s">
        <v>40</v>
      </c>
      <c r="I1" s="4" t="s">
        <v>1</v>
      </c>
      <c r="J1" s="4" t="s">
        <v>23</v>
      </c>
      <c r="K1" s="3" t="s">
        <v>17</v>
      </c>
      <c r="L1" s="3" t="s">
        <v>16</v>
      </c>
      <c r="M1" s="3" t="s">
        <v>2</v>
      </c>
      <c r="N1" s="3" t="s">
        <v>3</v>
      </c>
      <c r="O1" s="2" t="s">
        <v>4</v>
      </c>
      <c r="P1" s="2" t="s">
        <v>30</v>
      </c>
      <c r="Q1" s="2" t="s">
        <v>5</v>
      </c>
      <c r="AE1" s="2" t="s">
        <v>18</v>
      </c>
      <c r="AF1" s="2" t="s">
        <v>28</v>
      </c>
      <c r="AG1" s="2" t="s">
        <v>19</v>
      </c>
      <c r="AH1" s="2" t="s">
        <v>20</v>
      </c>
      <c r="AI1" s="2" t="s">
        <v>21</v>
      </c>
      <c r="AJ1" s="2" t="s">
        <v>22</v>
      </c>
    </row>
    <row r="2" spans="1:36" x14ac:dyDescent="0.25">
      <c r="A2" t="s">
        <v>10</v>
      </c>
      <c r="B2" t="s">
        <v>41</v>
      </c>
      <c r="I2" t="s">
        <v>15</v>
      </c>
      <c r="J2" s="1" t="s">
        <v>24</v>
      </c>
      <c r="K2" s="6">
        <v>0</v>
      </c>
      <c r="L2" s="6">
        <v>0</v>
      </c>
      <c r="M2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>Q10000.0</v>
      </c>
      <c r="N2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>I.10.0.0</v>
      </c>
      <c r="O2" t="s">
        <v>45</v>
      </c>
      <c r="P2" t="s">
        <v>31</v>
      </c>
      <c r="AE2" s="5">
        <v>1</v>
      </c>
      <c r="AF2" s="9" t="s">
        <v>29</v>
      </c>
      <c r="AG2" s="5">
        <v>10</v>
      </c>
      <c r="AH2" s="5">
        <v>10000</v>
      </c>
      <c r="AI2" s="5" t="s">
        <v>26</v>
      </c>
      <c r="AJ2" s="5" t="str">
        <f>SUBSTITUTE(SORTER_PARAMS[[#This Row],[Input Format]], "I", "Q")</f>
        <v>Q&lt;base+offset&gt;/.&lt;bit&gt;</v>
      </c>
    </row>
    <row r="3" spans="1:36" x14ac:dyDescent="0.25">
      <c r="A3" t="s">
        <v>11</v>
      </c>
      <c r="B3" t="s">
        <v>52</v>
      </c>
      <c r="I3" t="s">
        <v>15</v>
      </c>
      <c r="J3" s="1" t="s">
        <v>24</v>
      </c>
      <c r="K3" s="6">
        <v>1</v>
      </c>
      <c r="L3" s="6">
        <v>0</v>
      </c>
      <c r="M3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>Q10001.0</v>
      </c>
      <c r="N3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>I.10.1.0</v>
      </c>
      <c r="O3" t="s">
        <v>46</v>
      </c>
      <c r="AE3" s="5">
        <v>2</v>
      </c>
      <c r="AF3" s="9" t="s">
        <v>29</v>
      </c>
      <c r="AG3" s="5">
        <v>10</v>
      </c>
      <c r="AH3" s="5">
        <v>0</v>
      </c>
      <c r="AI3" s="5" t="str">
        <f>"I." &amp;SORTER_PARAMS[[#This Row],[Base Node]] &amp;".&lt;base+offset&gt;/.&lt;bit&gt;"</f>
        <v>I.10.&lt;base+offset&gt;/.&lt;bit&gt;</v>
      </c>
      <c r="AJ3" s="5" t="str">
        <f>SUBSTITUTE(SORTER_PARAMS[[#This Row],[Input Format]], "I", "O")</f>
        <v>O.10.&lt;base+offset&gt;/.&lt;bit&gt;</v>
      </c>
    </row>
    <row r="4" spans="1:36" x14ac:dyDescent="0.25">
      <c r="A4" t="s">
        <v>11</v>
      </c>
      <c r="B4" t="s">
        <v>42</v>
      </c>
      <c r="I4" t="s">
        <v>15</v>
      </c>
      <c r="J4" s="1" t="s">
        <v>24</v>
      </c>
      <c r="K4" s="8">
        <f t="shared" ref="K4:K6" si="0">K3</f>
        <v>1</v>
      </c>
      <c r="L4" s="8">
        <f>L3+1</f>
        <v>1</v>
      </c>
      <c r="M4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>Q10001.1</v>
      </c>
      <c r="N4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>I.10.1.1</v>
      </c>
      <c r="O4" t="s">
        <v>47</v>
      </c>
    </row>
    <row r="5" spans="1:36" ht="17.25" thickBot="1" x14ac:dyDescent="0.3">
      <c r="A5" t="s">
        <v>11</v>
      </c>
      <c r="B5" t="s">
        <v>53</v>
      </c>
      <c r="I5" t="s">
        <v>15</v>
      </c>
      <c r="J5" s="1" t="s">
        <v>24</v>
      </c>
      <c r="K5" s="8">
        <f t="shared" si="0"/>
        <v>1</v>
      </c>
      <c r="L5" s="8">
        <f t="shared" ref="L5:L6" si="1">L4+1</f>
        <v>2</v>
      </c>
      <c r="M5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>Q10001.2</v>
      </c>
      <c r="N5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>I.10.1.2</v>
      </c>
      <c r="O5" t="s">
        <v>48</v>
      </c>
      <c r="AE5" s="10" t="s">
        <v>32</v>
      </c>
      <c r="AF5" s="10" t="s">
        <v>33</v>
      </c>
      <c r="AG5" s="10" t="s">
        <v>34</v>
      </c>
      <c r="AH5" s="10" t="s">
        <v>35</v>
      </c>
      <c r="AI5" t="s">
        <v>36</v>
      </c>
      <c r="AJ5" t="s">
        <v>37</v>
      </c>
    </row>
    <row r="6" spans="1:36" ht="15.75" thickTop="1" x14ac:dyDescent="0.25">
      <c r="A6" t="s">
        <v>12</v>
      </c>
      <c r="I6" t="s">
        <v>15</v>
      </c>
      <c r="J6" s="1" t="s">
        <v>24</v>
      </c>
      <c r="K6" s="8">
        <f t="shared" si="0"/>
        <v>1</v>
      </c>
      <c r="L6" s="8">
        <f t="shared" si="1"/>
        <v>3</v>
      </c>
      <c r="M6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>Q10001.3</v>
      </c>
      <c r="N6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>I.10.1.3</v>
      </c>
      <c r="O6" t="s">
        <v>49</v>
      </c>
      <c r="AE6" s="11"/>
      <c r="AF6" s="11"/>
      <c r="AG6" s="11"/>
      <c r="AH6" s="11"/>
      <c r="AI6" s="11"/>
      <c r="AJ6" s="1"/>
    </row>
    <row r="7" spans="1:36" x14ac:dyDescent="0.25">
      <c r="J7" s="1"/>
      <c r="K7" s="8"/>
      <c r="L7" s="8"/>
      <c r="M7" s="7"/>
      <c r="N7" s="7"/>
    </row>
    <row r="8" spans="1:36" x14ac:dyDescent="0.25">
      <c r="A8" t="s">
        <v>13</v>
      </c>
      <c r="B8" t="s">
        <v>43</v>
      </c>
      <c r="I8" t="s">
        <v>15</v>
      </c>
      <c r="J8" s="1" t="s">
        <v>25</v>
      </c>
      <c r="K8" s="8">
        <v>0</v>
      </c>
      <c r="L8" s="8">
        <v>0</v>
      </c>
      <c r="M8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>I10000.0</v>
      </c>
      <c r="N8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>O.10.0.0</v>
      </c>
      <c r="O8" t="s">
        <v>50</v>
      </c>
    </row>
    <row r="9" spans="1:36" x14ac:dyDescent="0.25">
      <c r="A9" t="s">
        <v>14</v>
      </c>
      <c r="B9" t="s">
        <v>44</v>
      </c>
      <c r="I9" t="s">
        <v>15</v>
      </c>
      <c r="J9" s="1" t="s">
        <v>25</v>
      </c>
      <c r="K9" s="8">
        <v>1</v>
      </c>
      <c r="L9" s="8">
        <v>0</v>
      </c>
      <c r="M9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>I10001.0</v>
      </c>
      <c r="N9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>O.10.1.0</v>
      </c>
      <c r="O9" t="s">
        <v>51</v>
      </c>
    </row>
    <row r="10" spans="1:36" x14ac:dyDescent="0.25">
      <c r="J10" s="1"/>
      <c r="K10" s="8"/>
      <c r="L10" s="8"/>
      <c r="M10" s="7"/>
      <c r="N10" s="7"/>
    </row>
    <row r="11" spans="1:36" x14ac:dyDescent="0.25">
      <c r="J11" s="1"/>
      <c r="K11" s="8"/>
      <c r="L11" s="8"/>
      <c r="M11" s="7"/>
      <c r="N11" s="7"/>
    </row>
    <row r="12" spans="1:36" x14ac:dyDescent="0.25">
      <c r="J12" s="1"/>
      <c r="K12" s="8"/>
      <c r="L12" s="8"/>
      <c r="M12" s="7"/>
      <c r="N12" s="7"/>
    </row>
    <row r="13" spans="1:36" x14ac:dyDescent="0.25">
      <c r="J13" s="1"/>
      <c r="K13" s="8"/>
      <c r="L13" s="8"/>
      <c r="M13" s="7"/>
      <c r="N13" s="7"/>
    </row>
    <row r="14" spans="1:36" x14ac:dyDescent="0.25">
      <c r="J14" s="1"/>
      <c r="K14" s="8"/>
      <c r="L14" s="8"/>
      <c r="M14" s="7"/>
      <c r="N14" s="7"/>
    </row>
    <row r="15" spans="1:36" x14ac:dyDescent="0.25">
      <c r="J15" s="1"/>
      <c r="K15" s="8"/>
      <c r="L15" s="8"/>
      <c r="M15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</row>
    <row r="16" spans="1:36" x14ac:dyDescent="0.25">
      <c r="J16" s="1"/>
      <c r="K16" s="8"/>
      <c r="L16" s="8"/>
      <c r="M16" s="7"/>
      <c r="N16" s="7"/>
    </row>
    <row r="17" spans="10:14" x14ac:dyDescent="0.25">
      <c r="J17" s="1"/>
      <c r="K17" s="8"/>
      <c r="L17" s="8"/>
      <c r="M17" s="7"/>
      <c r="N17" s="7"/>
    </row>
    <row r="18" spans="10:14" x14ac:dyDescent="0.25">
      <c r="J18" s="1"/>
      <c r="K18" s="8"/>
      <c r="L18" s="8"/>
      <c r="M18" s="7"/>
      <c r="N18" s="7"/>
    </row>
    <row r="19" spans="10:14" x14ac:dyDescent="0.25">
      <c r="J19" s="1"/>
      <c r="K19" s="8"/>
      <c r="L19" s="8"/>
      <c r="M19" s="7"/>
      <c r="N19" s="7"/>
    </row>
    <row r="20" spans="10:14" x14ac:dyDescent="0.25">
      <c r="J20" s="1"/>
      <c r="K20" s="8"/>
      <c r="L20" s="8"/>
      <c r="M20" s="7"/>
      <c r="N20" s="7"/>
    </row>
    <row r="21" spans="10:14" x14ac:dyDescent="0.25">
      <c r="J21" s="1"/>
      <c r="K21" s="8"/>
      <c r="L21" s="8"/>
      <c r="M21" s="7"/>
      <c r="N21" s="7"/>
    </row>
    <row r="22" spans="10:14" x14ac:dyDescent="0.25">
      <c r="J22" s="1"/>
      <c r="K22" s="8"/>
      <c r="L22" s="8"/>
      <c r="M22" s="7"/>
      <c r="N22" s="7"/>
    </row>
    <row r="23" spans="10:14" x14ac:dyDescent="0.25">
      <c r="J23" s="1"/>
      <c r="K23" s="8"/>
      <c r="L23" s="8"/>
      <c r="M23" s="7"/>
      <c r="N23" s="7"/>
    </row>
    <row r="24" spans="10:14" x14ac:dyDescent="0.25">
      <c r="J24" s="1"/>
      <c r="K24" s="8"/>
      <c r="L24" s="8"/>
      <c r="M24" s="7"/>
      <c r="N24" s="7"/>
    </row>
    <row r="25" spans="10:14" x14ac:dyDescent="0.25">
      <c r="J25" s="1"/>
      <c r="K25" s="8"/>
      <c r="L25" s="8"/>
      <c r="M25" s="7"/>
      <c r="N25" s="7"/>
    </row>
    <row r="26" spans="10:14" x14ac:dyDescent="0.25">
      <c r="J26" s="1"/>
      <c r="K26" s="8"/>
      <c r="L26" s="8"/>
      <c r="M26" s="7"/>
      <c r="N26" s="7"/>
    </row>
    <row r="27" spans="10:14" x14ac:dyDescent="0.25">
      <c r="J27" s="1"/>
      <c r="K27" s="8"/>
      <c r="L27" s="8"/>
      <c r="M27" s="7"/>
      <c r="N27" s="7"/>
    </row>
    <row r="28" spans="10:14" x14ac:dyDescent="0.25">
      <c r="J28" s="1"/>
      <c r="K28" s="8"/>
      <c r="L28" s="8"/>
      <c r="M28" s="7"/>
      <c r="N28" s="7"/>
    </row>
    <row r="29" spans="10:14" x14ac:dyDescent="0.25">
      <c r="J29" s="1"/>
      <c r="K29" s="8"/>
      <c r="L29" s="8"/>
      <c r="M29" s="7"/>
      <c r="N29" s="7"/>
    </row>
    <row r="30" spans="10:14" x14ac:dyDescent="0.25">
      <c r="J30" s="1"/>
      <c r="K30" s="8"/>
      <c r="L30" s="8"/>
      <c r="M30" s="7"/>
      <c r="N30" s="7"/>
    </row>
    <row r="31" spans="10:14" x14ac:dyDescent="0.25">
      <c r="K31" s="7"/>
      <c r="L31" s="7"/>
      <c r="M31" s="7" t="str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" s="7" t="str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</row>
  </sheetData>
  <phoneticPr fontId="1" type="noConversion"/>
  <pageMargins left="0.7" right="0.7" top="0.75" bottom="0.75" header="0.3" footer="0.3"/>
  <headerFooter>
    <oddHeader>&amp;L&amp;"Aptos"&amp;10&amp;K000000 Public&amp;1#_x000D_</oddHeader>
  </headerFooter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33BC-7DA9-49FE-B262-317A5E78FB9D}">
  <dimension ref="A1:AK44"/>
  <sheetViews>
    <sheetView tabSelected="1" topLeftCell="J11" zoomScale="146" workbookViewId="0">
      <selection activeCell="O24" sqref="O24"/>
    </sheetView>
  </sheetViews>
  <sheetFormatPr defaultRowHeight="15" x14ac:dyDescent="0.25"/>
  <cols>
    <col min="1" max="1" width="13.42578125" bestFit="1" customWidth="1"/>
    <col min="2" max="2" width="27.5703125" bestFit="1" customWidth="1"/>
    <col min="3" max="3" width="9.28515625" customWidth="1"/>
    <col min="4" max="4" width="8.42578125" customWidth="1"/>
    <col min="5" max="5" width="6.7109375" customWidth="1"/>
    <col min="6" max="6" width="9.85546875" customWidth="1"/>
    <col min="7" max="7" width="10.28515625" customWidth="1"/>
    <col min="8" max="8" width="10.42578125" customWidth="1"/>
    <col min="9" max="10" width="7.5703125" customWidth="1"/>
    <col min="11" max="11" width="8.7109375" customWidth="1"/>
    <col min="12" max="12" width="5.7109375" customWidth="1"/>
    <col min="13" max="13" width="18.140625" customWidth="1"/>
    <col min="14" max="14" width="16.140625" customWidth="1"/>
    <col min="15" max="15" width="53.28515625" bestFit="1" customWidth="1"/>
    <col min="16" max="16" width="21.140625" bestFit="1" customWidth="1"/>
    <col min="17" max="17" width="22.42578125" bestFit="1" customWidth="1"/>
    <col min="18" max="27" width="2.85546875" customWidth="1"/>
    <col min="28" max="28" width="9.42578125" bestFit="1" customWidth="1"/>
    <col min="29" max="29" width="6.7109375" customWidth="1"/>
    <col min="30" max="31" width="9.140625" customWidth="1"/>
    <col min="32" max="32" width="8" customWidth="1"/>
    <col min="33" max="33" width="7.5703125" customWidth="1"/>
    <col min="36" max="37" width="45.140625" bestFit="1" customWidth="1"/>
  </cols>
  <sheetData>
    <row r="1" spans="1:37" ht="32.25" customHeight="1" x14ac:dyDescent="0.25">
      <c r="A1" s="2" t="s">
        <v>0</v>
      </c>
      <c r="B1" s="2" t="s">
        <v>7</v>
      </c>
      <c r="C1" s="3" t="s">
        <v>6</v>
      </c>
      <c r="D1" s="3" t="s">
        <v>8</v>
      </c>
      <c r="E1" s="3" t="s">
        <v>9</v>
      </c>
      <c r="F1" s="12" t="s">
        <v>38</v>
      </c>
      <c r="G1" s="12" t="s">
        <v>39</v>
      </c>
      <c r="H1" s="12" t="s">
        <v>40</v>
      </c>
      <c r="I1" s="4" t="s">
        <v>1</v>
      </c>
      <c r="J1" s="4" t="s">
        <v>23</v>
      </c>
      <c r="K1" s="3" t="s">
        <v>17</v>
      </c>
      <c r="L1" s="3" t="s">
        <v>16</v>
      </c>
      <c r="M1" s="3" t="s">
        <v>2</v>
      </c>
      <c r="N1" s="3" t="s">
        <v>3</v>
      </c>
      <c r="O1" s="2" t="s">
        <v>4</v>
      </c>
      <c r="P1" s="2" t="s">
        <v>30</v>
      </c>
      <c r="Q1" s="2" t="s">
        <v>5</v>
      </c>
      <c r="AF1" s="2" t="s">
        <v>18</v>
      </c>
      <c r="AG1" s="2" t="s">
        <v>28</v>
      </c>
      <c r="AH1" s="2" t="s">
        <v>19</v>
      </c>
      <c r="AI1" s="2" t="s">
        <v>20</v>
      </c>
      <c r="AJ1" s="2" t="s">
        <v>21</v>
      </c>
      <c r="AK1" s="2" t="s">
        <v>22</v>
      </c>
    </row>
    <row r="2" spans="1:37" x14ac:dyDescent="0.25">
      <c r="I2" t="s">
        <v>15</v>
      </c>
      <c r="J2" s="1" t="s">
        <v>25</v>
      </c>
      <c r="K2" s="8">
        <v>0</v>
      </c>
      <c r="L2" s="8">
        <v>0</v>
      </c>
      <c r="M2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I10000.0</v>
      </c>
      <c r="N2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Q.10.0.0</v>
      </c>
      <c r="AF2" s="5">
        <v>1</v>
      </c>
      <c r="AG2" s="9" t="s">
        <v>29</v>
      </c>
      <c r="AH2" s="5">
        <v>10</v>
      </c>
      <c r="AI2" s="5">
        <v>10000</v>
      </c>
      <c r="AJ2" s="5" t="s">
        <v>54</v>
      </c>
      <c r="AK2" s="5" t="str">
        <f>SUBSTITUTE(Table428[[#This Row],[Input Format]], "I", "Q")</f>
        <v>Q&lt;size_modifier&gt;&lt;base+offset&gt;[.&lt;bit&gt;]</v>
      </c>
    </row>
    <row r="3" spans="1:37" x14ac:dyDescent="0.25">
      <c r="I3" t="s">
        <v>15</v>
      </c>
      <c r="J3" s="1" t="s">
        <v>25</v>
      </c>
      <c r="K3" s="8">
        <f>K2</f>
        <v>0</v>
      </c>
      <c r="L3" s="8">
        <f>L2+1</f>
        <v>1</v>
      </c>
      <c r="M3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I10000.1</v>
      </c>
      <c r="N3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Q.10.0.1</v>
      </c>
      <c r="AF3" s="5">
        <v>2</v>
      </c>
      <c r="AG3" s="9" t="s">
        <v>29</v>
      </c>
      <c r="AH3" s="5">
        <v>10</v>
      </c>
      <c r="AI3" s="5">
        <v>0</v>
      </c>
      <c r="AJ3" s="5" t="str">
        <f>"I." &amp;Table428[[#This Row],[Base Node]] &amp;".&lt;base+offset&gt;.&lt;bit&gt;"</f>
        <v>I.10.&lt;base+offset&gt;.&lt;bit&gt;</v>
      </c>
      <c r="AK3" s="5" t="str">
        <f>SUBSTITUTE(Table428[[#This Row],[Input Format]], "I", "Q")</f>
        <v>Q.10.&lt;base+offset&gt;.&lt;bit&gt;</v>
      </c>
    </row>
    <row r="4" spans="1:37" x14ac:dyDescent="0.25">
      <c r="I4" t="s">
        <v>15</v>
      </c>
      <c r="J4" s="1" t="s">
        <v>25</v>
      </c>
      <c r="K4" s="8">
        <f t="shared" ref="K4:K17" si="0">K3</f>
        <v>0</v>
      </c>
      <c r="L4" s="8">
        <f t="shared" ref="L4:L9" si="1">L3+1</f>
        <v>2</v>
      </c>
      <c r="M4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I10000.2</v>
      </c>
      <c r="N4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Q.10.0.2</v>
      </c>
    </row>
    <row r="5" spans="1:37" x14ac:dyDescent="0.25">
      <c r="I5" t="s">
        <v>15</v>
      </c>
      <c r="J5" s="1" t="s">
        <v>25</v>
      </c>
      <c r="K5" s="8">
        <f t="shared" si="0"/>
        <v>0</v>
      </c>
      <c r="L5" s="8">
        <f t="shared" si="1"/>
        <v>3</v>
      </c>
      <c r="M5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I10000.3</v>
      </c>
      <c r="N5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Q.10.0.3</v>
      </c>
    </row>
    <row r="6" spans="1:37" x14ac:dyDescent="0.25">
      <c r="I6" t="s">
        <v>15</v>
      </c>
      <c r="J6" s="1" t="s">
        <v>25</v>
      </c>
      <c r="K6" s="8">
        <f t="shared" si="0"/>
        <v>0</v>
      </c>
      <c r="L6" s="8">
        <f t="shared" si="1"/>
        <v>4</v>
      </c>
      <c r="M6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I10000.4</v>
      </c>
      <c r="N6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Q.10.0.4</v>
      </c>
    </row>
    <row r="7" spans="1:37" x14ac:dyDescent="0.25">
      <c r="I7" t="s">
        <v>15</v>
      </c>
      <c r="J7" s="1" t="s">
        <v>25</v>
      </c>
      <c r="K7" s="8">
        <f t="shared" si="0"/>
        <v>0</v>
      </c>
      <c r="L7" s="8">
        <f t="shared" si="1"/>
        <v>5</v>
      </c>
      <c r="M7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I10000.5</v>
      </c>
      <c r="N7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Q.10.0.5</v>
      </c>
    </row>
    <row r="8" spans="1:37" x14ac:dyDescent="0.25">
      <c r="I8" t="s">
        <v>15</v>
      </c>
      <c r="J8" s="1" t="s">
        <v>25</v>
      </c>
      <c r="K8" s="8">
        <f t="shared" si="0"/>
        <v>0</v>
      </c>
      <c r="L8" s="8">
        <f t="shared" si="1"/>
        <v>6</v>
      </c>
      <c r="M8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I10000.6</v>
      </c>
      <c r="N8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Q.10.0.6</v>
      </c>
    </row>
    <row r="9" spans="1:37" x14ac:dyDescent="0.25">
      <c r="I9" t="s">
        <v>15</v>
      </c>
      <c r="J9" s="1" t="s">
        <v>25</v>
      </c>
      <c r="K9" s="8">
        <f t="shared" si="0"/>
        <v>0</v>
      </c>
      <c r="L9" s="8">
        <f t="shared" si="1"/>
        <v>7</v>
      </c>
      <c r="M9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I10000.7</v>
      </c>
      <c r="N9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Q.10.0.7</v>
      </c>
    </row>
    <row r="10" spans="1:37" x14ac:dyDescent="0.25">
      <c r="I10" t="s">
        <v>15</v>
      </c>
      <c r="J10" s="1" t="s">
        <v>25</v>
      </c>
      <c r="K10" s="8">
        <f>K9+1</f>
        <v>1</v>
      </c>
      <c r="L10" s="8">
        <v>0</v>
      </c>
      <c r="M10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I10001.0</v>
      </c>
      <c r="N10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Q.10.1.0</v>
      </c>
    </row>
    <row r="11" spans="1:37" x14ac:dyDescent="0.25">
      <c r="I11" t="s">
        <v>15</v>
      </c>
      <c r="J11" s="1" t="s">
        <v>25</v>
      </c>
      <c r="K11" s="8">
        <f t="shared" si="0"/>
        <v>1</v>
      </c>
      <c r="L11" s="8">
        <f>L10+1</f>
        <v>1</v>
      </c>
      <c r="M11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I10001.1</v>
      </c>
      <c r="N11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Q.10.1.1</v>
      </c>
    </row>
    <row r="12" spans="1:37" x14ac:dyDescent="0.25">
      <c r="I12" t="s">
        <v>15</v>
      </c>
      <c r="J12" s="1" t="s">
        <v>25</v>
      </c>
      <c r="K12" s="8">
        <f t="shared" si="0"/>
        <v>1</v>
      </c>
      <c r="L12" s="8">
        <f t="shared" ref="L12:L17" si="2">L11+1</f>
        <v>2</v>
      </c>
      <c r="M12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I10001.2</v>
      </c>
      <c r="N12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Q.10.1.2</v>
      </c>
    </row>
    <row r="13" spans="1:37" x14ac:dyDescent="0.25">
      <c r="I13" t="s">
        <v>15</v>
      </c>
      <c r="J13" s="1" t="s">
        <v>25</v>
      </c>
      <c r="K13" s="8">
        <f t="shared" si="0"/>
        <v>1</v>
      </c>
      <c r="L13" s="8">
        <f t="shared" si="2"/>
        <v>3</v>
      </c>
      <c r="M13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I10001.3</v>
      </c>
      <c r="N13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Q.10.1.3</v>
      </c>
    </row>
    <row r="14" spans="1:37" x14ac:dyDescent="0.25">
      <c r="I14" t="s">
        <v>15</v>
      </c>
      <c r="J14" s="1" t="s">
        <v>25</v>
      </c>
      <c r="K14" s="8">
        <f t="shared" si="0"/>
        <v>1</v>
      </c>
      <c r="L14" s="8">
        <f t="shared" si="2"/>
        <v>4</v>
      </c>
      <c r="M14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I10001.4</v>
      </c>
      <c r="N14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Q.10.1.4</v>
      </c>
    </row>
    <row r="15" spans="1:37" x14ac:dyDescent="0.25">
      <c r="I15" t="s">
        <v>15</v>
      </c>
      <c r="J15" s="1" t="s">
        <v>25</v>
      </c>
      <c r="K15" s="8">
        <f t="shared" si="0"/>
        <v>1</v>
      </c>
      <c r="L15" s="8">
        <f t="shared" si="2"/>
        <v>5</v>
      </c>
      <c r="M15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I10001.5</v>
      </c>
      <c r="N15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Q.10.1.5</v>
      </c>
    </row>
    <row r="16" spans="1:37" x14ac:dyDescent="0.25">
      <c r="I16" t="s">
        <v>15</v>
      </c>
      <c r="J16" s="1" t="s">
        <v>25</v>
      </c>
      <c r="K16" s="8">
        <f t="shared" si="0"/>
        <v>1</v>
      </c>
      <c r="L16" s="8">
        <f t="shared" si="2"/>
        <v>6</v>
      </c>
      <c r="M16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I10001.6</v>
      </c>
      <c r="N16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Q.10.1.6</v>
      </c>
    </row>
    <row r="17" spans="2:16" x14ac:dyDescent="0.25">
      <c r="I17" t="s">
        <v>15</v>
      </c>
      <c r="J17" s="1" t="s">
        <v>25</v>
      </c>
      <c r="K17" s="8">
        <f t="shared" si="0"/>
        <v>1</v>
      </c>
      <c r="L17" s="8">
        <f t="shared" si="2"/>
        <v>7</v>
      </c>
      <c r="M17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I10001.7</v>
      </c>
      <c r="N17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Q.10.1.7</v>
      </c>
    </row>
    <row r="18" spans="2:16" x14ac:dyDescent="0.25">
      <c r="I18" t="s">
        <v>27</v>
      </c>
      <c r="J18" s="1" t="s">
        <v>25</v>
      </c>
      <c r="K18" s="8">
        <v>4</v>
      </c>
      <c r="L18" s="8"/>
      <c r="M18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IW10004</v>
      </c>
      <c r="N18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Q.10.4.0</v>
      </c>
    </row>
    <row r="19" spans="2:16" x14ac:dyDescent="0.25">
      <c r="I19" t="s">
        <v>27</v>
      </c>
      <c r="J19" s="1" t="s">
        <v>25</v>
      </c>
      <c r="K19" s="8">
        <v>6</v>
      </c>
      <c r="L19" s="8"/>
      <c r="M19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IW10006</v>
      </c>
      <c r="N19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Q.10.6.0</v>
      </c>
    </row>
    <row r="20" spans="2:16" x14ac:dyDescent="0.25">
      <c r="J20" s="1"/>
      <c r="K20" s="8"/>
      <c r="L20" s="8"/>
      <c r="M20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  <c r="N20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</row>
    <row r="21" spans="2:16" x14ac:dyDescent="0.25">
      <c r="B21" t="s">
        <v>57</v>
      </c>
      <c r="I21" t="s">
        <v>15</v>
      </c>
      <c r="J21" s="1" t="s">
        <v>24</v>
      </c>
      <c r="K21" s="8">
        <v>0</v>
      </c>
      <c r="L21" s="8">
        <v>0</v>
      </c>
      <c r="M21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Q10000.0</v>
      </c>
      <c r="N21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I.10.0.0</v>
      </c>
      <c r="O21" t="s">
        <v>58</v>
      </c>
      <c r="P21" t="s">
        <v>31</v>
      </c>
    </row>
    <row r="22" spans="2:16" x14ac:dyDescent="0.25">
      <c r="B22" t="s">
        <v>55</v>
      </c>
      <c r="I22" t="s">
        <v>15</v>
      </c>
      <c r="J22" s="1" t="s">
        <v>24</v>
      </c>
      <c r="K22" s="8">
        <f>K21</f>
        <v>0</v>
      </c>
      <c r="L22" s="8">
        <f>L21+1</f>
        <v>1</v>
      </c>
      <c r="M22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Q10000.1</v>
      </c>
      <c r="N22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I.10.0.1</v>
      </c>
      <c r="O22" t="s">
        <v>59</v>
      </c>
    </row>
    <row r="23" spans="2:16" x14ac:dyDescent="0.25">
      <c r="B23" t="s">
        <v>56</v>
      </c>
      <c r="I23" t="s">
        <v>15</v>
      </c>
      <c r="J23" s="1" t="s">
        <v>24</v>
      </c>
      <c r="K23" s="8">
        <f t="shared" ref="K23:K36" si="3">K22</f>
        <v>0</v>
      </c>
      <c r="L23" s="8">
        <f t="shared" ref="L23:L28" si="4">L22+1</f>
        <v>2</v>
      </c>
      <c r="M23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Q10000.2</v>
      </c>
      <c r="N23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I.10.0.2</v>
      </c>
      <c r="O23" t="s">
        <v>60</v>
      </c>
    </row>
    <row r="24" spans="2:16" x14ac:dyDescent="0.25">
      <c r="I24" t="s">
        <v>15</v>
      </c>
      <c r="J24" s="1" t="s">
        <v>24</v>
      </c>
      <c r="K24" s="8">
        <f t="shared" si="3"/>
        <v>0</v>
      </c>
      <c r="L24" s="8">
        <f t="shared" si="4"/>
        <v>3</v>
      </c>
      <c r="M24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Q10000.3</v>
      </c>
      <c r="N24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I.10.0.3</v>
      </c>
    </row>
    <row r="25" spans="2:16" x14ac:dyDescent="0.25">
      <c r="I25" t="s">
        <v>15</v>
      </c>
      <c r="J25" s="1" t="s">
        <v>24</v>
      </c>
      <c r="K25" s="8">
        <f t="shared" si="3"/>
        <v>0</v>
      </c>
      <c r="L25" s="8">
        <f t="shared" si="4"/>
        <v>4</v>
      </c>
      <c r="M25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Q10000.4</v>
      </c>
      <c r="N25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I.10.0.4</v>
      </c>
    </row>
    <row r="26" spans="2:16" x14ac:dyDescent="0.25">
      <c r="I26" t="s">
        <v>15</v>
      </c>
      <c r="J26" s="1" t="s">
        <v>24</v>
      </c>
      <c r="K26" s="8">
        <f t="shared" si="3"/>
        <v>0</v>
      </c>
      <c r="L26" s="8">
        <f t="shared" si="4"/>
        <v>5</v>
      </c>
      <c r="M26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Q10000.5</v>
      </c>
      <c r="N26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I.10.0.5</v>
      </c>
    </row>
    <row r="27" spans="2:16" x14ac:dyDescent="0.25">
      <c r="I27" t="s">
        <v>15</v>
      </c>
      <c r="J27" s="1" t="s">
        <v>24</v>
      </c>
      <c r="K27" s="8">
        <f t="shared" si="3"/>
        <v>0</v>
      </c>
      <c r="L27" s="8">
        <f t="shared" si="4"/>
        <v>6</v>
      </c>
      <c r="M27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Q10000.6</v>
      </c>
      <c r="N27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I.10.0.6</v>
      </c>
    </row>
    <row r="28" spans="2:16" x14ac:dyDescent="0.25">
      <c r="I28" t="s">
        <v>15</v>
      </c>
      <c r="J28" s="1" t="s">
        <v>24</v>
      </c>
      <c r="K28" s="8">
        <f t="shared" si="3"/>
        <v>0</v>
      </c>
      <c r="L28" s="8">
        <f t="shared" si="4"/>
        <v>7</v>
      </c>
      <c r="M28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Q10000.7</v>
      </c>
      <c r="N28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I.10.0.7</v>
      </c>
    </row>
    <row r="29" spans="2:16" x14ac:dyDescent="0.25">
      <c r="I29" t="s">
        <v>15</v>
      </c>
      <c r="J29" s="1" t="s">
        <v>24</v>
      </c>
      <c r="K29" s="8">
        <f>K28+1</f>
        <v>1</v>
      </c>
      <c r="L29" s="8">
        <v>0</v>
      </c>
      <c r="M29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Q10001.0</v>
      </c>
      <c r="N29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I.10.1.0</v>
      </c>
    </row>
    <row r="30" spans="2:16" x14ac:dyDescent="0.25">
      <c r="I30" t="s">
        <v>15</v>
      </c>
      <c r="J30" s="1" t="s">
        <v>24</v>
      </c>
      <c r="K30" s="8">
        <f t="shared" si="3"/>
        <v>1</v>
      </c>
      <c r="L30" s="8">
        <f>L29+1</f>
        <v>1</v>
      </c>
      <c r="M30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Q10001.1</v>
      </c>
      <c r="N30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I.10.1.1</v>
      </c>
    </row>
    <row r="31" spans="2:16" x14ac:dyDescent="0.25">
      <c r="I31" t="s">
        <v>15</v>
      </c>
      <c r="J31" s="1" t="s">
        <v>24</v>
      </c>
      <c r="K31" s="8">
        <f t="shared" si="3"/>
        <v>1</v>
      </c>
      <c r="L31" s="8">
        <f t="shared" ref="L31:L36" si="5">L30+1</f>
        <v>2</v>
      </c>
      <c r="M31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Q10001.2</v>
      </c>
      <c r="N31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I.10.1.2</v>
      </c>
    </row>
    <row r="32" spans="2:16" x14ac:dyDescent="0.25">
      <c r="I32" t="s">
        <v>15</v>
      </c>
      <c r="J32" s="1" t="s">
        <v>24</v>
      </c>
      <c r="K32" s="8">
        <f t="shared" si="3"/>
        <v>1</v>
      </c>
      <c r="L32" s="8">
        <f t="shared" si="5"/>
        <v>3</v>
      </c>
      <c r="M32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Q10001.3</v>
      </c>
      <c r="N32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I.10.1.3</v>
      </c>
    </row>
    <row r="33" spans="9:14" x14ac:dyDescent="0.25">
      <c r="I33" t="s">
        <v>15</v>
      </c>
      <c r="J33" s="1" t="s">
        <v>24</v>
      </c>
      <c r="K33" s="8">
        <f t="shared" si="3"/>
        <v>1</v>
      </c>
      <c r="L33" s="8">
        <f t="shared" si="5"/>
        <v>4</v>
      </c>
      <c r="M33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Q10001.4</v>
      </c>
      <c r="N33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I.10.1.4</v>
      </c>
    </row>
    <row r="34" spans="9:14" x14ac:dyDescent="0.25">
      <c r="I34" t="s">
        <v>15</v>
      </c>
      <c r="J34" s="1" t="s">
        <v>24</v>
      </c>
      <c r="K34" s="8">
        <f t="shared" si="3"/>
        <v>1</v>
      </c>
      <c r="L34" s="8">
        <f t="shared" si="5"/>
        <v>5</v>
      </c>
      <c r="M34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Q10001.5</v>
      </c>
      <c r="N34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I.10.1.5</v>
      </c>
    </row>
    <row r="35" spans="9:14" x14ac:dyDescent="0.25">
      <c r="I35" t="s">
        <v>15</v>
      </c>
      <c r="J35" s="1" t="s">
        <v>24</v>
      </c>
      <c r="K35" s="8">
        <f t="shared" si="3"/>
        <v>1</v>
      </c>
      <c r="L35" s="8">
        <f t="shared" si="5"/>
        <v>6</v>
      </c>
      <c r="M35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Q10001.6</v>
      </c>
      <c r="N35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I.10.1.6</v>
      </c>
    </row>
    <row r="36" spans="9:14" x14ac:dyDescent="0.25">
      <c r="I36" t="s">
        <v>15</v>
      </c>
      <c r="J36" s="1" t="s">
        <v>24</v>
      </c>
      <c r="K36" s="8">
        <f t="shared" si="3"/>
        <v>1</v>
      </c>
      <c r="L36" s="8">
        <f t="shared" si="5"/>
        <v>7</v>
      </c>
      <c r="M36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Q10001.7</v>
      </c>
      <c r="N36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I.10.1.7</v>
      </c>
    </row>
    <row r="37" spans="9:14" x14ac:dyDescent="0.25">
      <c r="I37" t="s">
        <v>27</v>
      </c>
      <c r="J37" s="1" t="s">
        <v>24</v>
      </c>
      <c r="K37" s="7">
        <v>4</v>
      </c>
      <c r="L37" s="7"/>
      <c r="M37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QW10004</v>
      </c>
      <c r="N37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I.10.4.0</v>
      </c>
    </row>
    <row r="38" spans="9:14" x14ac:dyDescent="0.25">
      <c r="I38" t="s">
        <v>27</v>
      </c>
      <c r="J38" s="1" t="s">
        <v>24</v>
      </c>
      <c r="K38" s="7">
        <v>6</v>
      </c>
      <c r="L38" s="7"/>
      <c r="M38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QW10006</v>
      </c>
      <c r="N38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>I.10.6.0</v>
      </c>
    </row>
    <row r="39" spans="9:14" x14ac:dyDescent="0.25">
      <c r="K39" s="7"/>
      <c r="L39" s="7"/>
      <c r="M39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  <c r="N39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</row>
    <row r="40" spans="9:14" x14ac:dyDescent="0.25">
      <c r="K40" s="7"/>
      <c r="L40" s="7"/>
      <c r="M40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  <c r="N40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</row>
    <row r="41" spans="9:14" x14ac:dyDescent="0.25">
      <c r="K41" s="7"/>
      <c r="L41" s="7"/>
      <c r="M41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  <c r="N41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</row>
    <row r="42" spans="9:14" x14ac:dyDescent="0.25">
      <c r="K42" s="7"/>
      <c r="L42" s="7"/>
      <c r="M42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  <c r="N42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</row>
    <row r="43" spans="9:14" x14ac:dyDescent="0.25">
      <c r="K43" s="7"/>
      <c r="L43" s="7"/>
      <c r="M43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  <c r="N43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</row>
    <row r="44" spans="9:14" x14ac:dyDescent="0.25">
      <c r="K44" s="7"/>
      <c r="L44" s="7"/>
      <c r="M44" s="7" t="str">
        <f>_xlfn.LET(
    _xlpm.iSynt, INDEX(Table428[Input Format], 1),
    _xlpm.qSynt, INDEX(Table428[Output Format], 1),
    _xlpm.baseAddr, INDEX(Table428[Base Address], 1),
    _xlpm.isBool, Table1367[[#This Row],[Data Type]] = "BOOL",
    _xlpm.bit, IF(Table1367[[#This Row],[I/O Bit]] = "", 0, Table1367[[#This Row],[I/O Bit]]),
    _xlpm.synt, IF(Table1367[[#This Row],[Direction &lt;/&gt;]] = "&lt;", _xlpm.iSynt, IF(Table1367[[#This Row],[Direction &lt;/&gt;]] = "&gt;",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  <c r="N44" s="7" t="str">
        <f>_xlfn.LET(
    _xlpm.iSynt, INDEX(Table428[Input Format], 2),
    _xlpm.qSynt, INDEX(Table428[Output Format], 2),
    _xlpm.baseAddr, INDEX(Table428[Base Address], 2),
    _xlpm.isBool, Table1367[[#This Row],[Data Type]] = "BOOL",
    _xlpm.bit, IF(Table1367[[#This Row],[I/O Bit]] = "", 0, Table1367[[#This Row],[I/O Bit]]),
    _xlpm.synt, IF(Table1367[[#This Row],[Direction &lt;/&gt;]] = "&gt;", _xlpm.iSynt, IF(Table1367[[#This Row],[Direction &lt;/&gt;]] = "&lt;", _xlpm.qSynt, "")),
    _xlpm.optional, IF(_xlpm.isBool,
        SUBSTITUTE(SUBSTITUTE(_xlpm.synt, "[", ""), "]", ""),
        IFERROR(_xlfn.TEXTBEFORE(_xlpm.synt, "[") &amp; _xlfn.TEXTAFTER(_xlpm.synt, "]"), _xlpm.synt)),
    _xlpm.sizeMod, IF(_xlpm.isBool, "", LEFT(Table1367[[#This Row],[Data Type]], 1)),
    IF(
        _xlpm.synt &lt;&gt; "",
        SUBSTITUTE(SUBSTITUTE(SUBSTITUTE(_xlpm.optional,
            "&lt;size_modifier&gt;", _xlpm.sizeMod),
            "&lt;base+offset&gt;", _xlpm.baseAddr + Table1367[[#This Row],[I/O Offset Byte]]),
            "&lt;bit&gt;", _xlpm.bit),
        ""
    )
)</f>
        <v/>
      </c>
    </row>
  </sheetData>
  <pageMargins left="0.7" right="0.7" top="0.75" bottom="0.75" header="0.3" footer="0.3"/>
  <headerFooter>
    <oddHeader>&amp;L&amp;"Aptos"&amp;10&amp;K000000 Public&amp;1#_x000D_</oddHead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nACIALAAiAHQAaABvAHUAcwBhAG4AZABzAFAAbwBzAGkAdABpAG8AbgBzACIAOgBbADMAXQAsACIAZABlAGMAaQBtAGEAbABTAGUAcABhAHIAYQB0AG8AcgAiADoAIgAuACIALAAiAGQAYQB0AGUATwByAGQAZQByACIAOgAiAEQATQ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2CA9589A-BCC7-4FE5-AE15-D846DD500B13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&lt;GENERIC&gt;</vt:lpstr>
      <vt:lpstr>SORTER</vt:lpstr>
      <vt:lpstr>FVTGENERIC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Dragoi, Bogdan</dc:creator>
  <cp:lastModifiedBy>DRAGOI Bogdan petre1</cp:lastModifiedBy>
  <dcterms:created xsi:type="dcterms:W3CDTF">2015-06-05T18:17:20Z</dcterms:created>
  <dcterms:modified xsi:type="dcterms:W3CDTF">2026-10-07T15:01:32Z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55102-e3c4-49e9-9e1c-4559f787afe5_Enabled">
    <vt:lpwstr>true</vt:lpwstr>
  </property>
  <property fmtid="{D5CDD505-2E9C-101B-9397-08002B2CF9AE}" pid="3" name="MSIP_Label_bd855102-e3c4-49e9-9e1c-4559f787afe5_SetDate">
    <vt:lpwstr>2026-06-14T01:13:00Z</vt:lpwstr>
  </property>
  <property fmtid="{D5CDD505-2E9C-101B-9397-08002B2CF9AE}" pid="4" name="MSIP_Label_bd855102-e3c4-49e9-9e1c-4559f787afe5_Method">
    <vt:lpwstr>Privileged</vt:lpwstr>
  </property>
  <property fmtid="{D5CDD505-2E9C-101B-9397-08002B2CF9AE}" pid="5" name="MSIP_Label_bd855102-e3c4-49e9-9e1c-4559f787afe5_Name">
    <vt:lpwstr>FIL-IT-C1-Public</vt:lpwstr>
  </property>
  <property fmtid="{D5CDD505-2E9C-101B-9397-08002B2CF9AE}" pid="6" name="MSIP_Label_bd855102-e3c4-49e9-9e1c-4559f787afe5_SiteId">
    <vt:lpwstr>8eeda45f-61e4-4e2c-ac8b-6019b84f9775</vt:lpwstr>
  </property>
  <property fmtid="{D5CDD505-2E9C-101B-9397-08002B2CF9AE}" pid="7" name="MSIP_Label_bd855102-e3c4-49e9-9e1c-4559f787afe5_ActionId">
    <vt:lpwstr>04399b48-df61-470e-82d6-65e85d0892b7</vt:lpwstr>
  </property>
  <property fmtid="{D5CDD505-2E9C-101B-9397-08002B2CF9AE}" pid="8" name="MSIP_Label_bd855102-e3c4-49e9-9e1c-4559f787afe5_ContentBits">
    <vt:lpwstr>1</vt:lpwstr>
  </property>
  <property fmtid="{D5CDD505-2E9C-101B-9397-08002B2CF9AE}" pid="9" name="MSIP_Label_bd855102-e3c4-49e9-9e1c-4559f787afe5_Tag">
    <vt:lpwstr>10, 0, 1, 1</vt:lpwstr>
  </property>
</Properties>
</file>