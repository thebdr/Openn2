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730" windowWidth="29040" windowHeight="15900" tabRatio="600" firstSheet="0" autoFilterDateGrouping="1"/>
  </bookViews>
  <sheets>
    <sheet name="SORTER-0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theme="1"/>
      <sz val="11"/>
    </font>
    <font>
      <name val="Arial Narrow"/>
      <family val="2"/>
      <color theme="1"/>
      <sz val="11"/>
    </font>
    <font>
      <name val="Arial Narrow"/>
      <family val="2"/>
      <color theme="1"/>
      <sz val="9"/>
    </font>
    <font>
      <name val="Arial Narrow"/>
      <family val="2"/>
      <color theme="1"/>
      <sz val="10"/>
    </font>
    <font>
      <name val="BankGothic Md BT"/>
      <family val="2"/>
      <color theme="1"/>
      <sz val="11"/>
    </font>
    <font>
      <name val="Arial Narrow"/>
      <family val="2"/>
      <b val="1"/>
      <color theme="0"/>
      <sz val="11"/>
    </font>
    <font>
      <name val="Arial Narrow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7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7"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rgb="FF000000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alignment horizontal="center" vertical="bottom"/>
    </dxf>
    <dxf>
      <font>
        <name val="Arial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lor theme="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ORTER_SIGNALS" displayName="SORTER_SIGNALS" ref="A1:Q183" headerRowCount="1" totalsRowShown="0" headerRowDxfId="46">
  <autoFilter ref="A1:Q183"/>
  <tableColumns count="17">
    <tableColumn id="1" name="Category"/>
    <tableColumn id="2" name="Description"/>
    <tableColumn id="3" name="Functional Unit"/>
    <tableColumn id="4" name="Location"/>
    <tableColumn id="5" name="Device"/>
    <tableColumn id="17" name="diag_cabinet"/>
    <tableColumn id="16" name="swp_cabinet"/>
    <tableColumn id="15" name="diag_bit"/>
    <tableColumn id="6" name="Data Type"/>
    <tableColumn id="13" name="Direction &lt;/&gt;"/>
    <tableColumn id="11" name="I/O Offset Byte" dataDxfId="45"/>
    <tableColumn id="12" name="I/O Bit" dataDxfId="44"/>
    <tableColumn id="7" name="I/O Address Side 1" dataDxfId="43">
      <calculatedColumnFormula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calculatedColumnFormula>
    </tableColumn>
    <tableColumn id="8" name="I/O Address Side 2" dataDxfId="42">
      <calculatedColumnFormula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calculatedColumnFormula>
    </tableColumn>
    <tableColumn id="9" name="Signal Name Side 1"/>
    <tableColumn id="10" name="Expression Side 1"/>
    <tableColumn id="14" name="Signal Name Sid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ER_PARAMS" displayName="SORTER_PARAMS" ref="AE1:AJ3" headerRowCount="1" headerRowDxfId="41" dataDxfId="40">
  <autoFilter ref="AE1:AJ3"/>
  <tableColumns count="6">
    <tableColumn id="1" name="Side" totalsRowLabel="Total" dataDxfId="39"/>
    <tableColumn id="6" name="Index" dataDxfId="38"/>
    <tableColumn id="2" name="Base Node" dataDxfId="37"/>
    <tableColumn id="3" name="Base Address" dataDxfId="36"/>
    <tableColumn id="4" name="Input Format" dataDxfId="35"/>
    <tableColumn id="5" name="Output Format" totalsRowFunction="count" dataDxfId="34">
      <calculatedColumnFormula>SUBSTITUTE(SORTER_PARAMS[[#This Row],[Input Format]], "I", "Q")</calculatedColumnFormula>
    </tableColumn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id="3" name="SORTER_EXTRA_DATA" displayName="SORTER_EXTRA_DATA" ref="AE5:AJ6" headerRowCount="1" totalsRowShown="0" headerRowDxfId="33" dataDxfId="32">
  <autoFilter ref="AE5:AJ6"/>
  <tableColumns count="6">
    <tableColumn id="1" name="AREA" dataDxfId="31"/>
    <tableColumn id="2" name="DOORS" dataDxfId="30"/>
    <tableColumn id="3" name="BREAKERS" dataDxfId="29"/>
    <tableColumn id="4" name="ENCODER" dataDxfId="28"/>
    <tableColumn id="5" name="Column1" dataDxfId="27"/>
    <tableColumn id="6" name="Column2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3"/>
  <sheetViews>
    <sheetView topLeftCell="H1" zoomScale="146" workbookViewId="0">
      <selection activeCell="O2" sqref="O2"/>
    </sheetView>
  </sheetViews>
  <sheetFormatPr baseColWidth="8" defaultRowHeight="15"/>
  <cols>
    <col width="20.28515625" bestFit="1" customWidth="1" min="1" max="1"/>
    <col width="50" customWidth="1" min="2" max="2"/>
    <col width="9.28515625" customWidth="1" min="3" max="3"/>
    <col width="8.42578125" customWidth="1" min="4" max="4"/>
    <col width="6.7109375" customWidth="1" min="5" max="5"/>
    <col width="9.85546875" bestFit="1" customWidth="1" min="6" max="6"/>
    <col width="10.28515625" bestFit="1" customWidth="1" min="7" max="7"/>
    <col width="10.42578125" bestFit="1" customWidth="1" min="8" max="8"/>
    <col width="7.5703125" customWidth="1" min="9" max="10"/>
    <col width="8.7109375" customWidth="1" min="11" max="11"/>
    <col width="5.7109375" customWidth="1" min="12" max="12"/>
    <col width="18.140625" bestFit="1" customWidth="1" min="13" max="13"/>
    <col width="16.140625" customWidth="1" min="14" max="14"/>
    <col width="48.85546875" bestFit="1" customWidth="1" min="15" max="15"/>
    <col width="23.7109375" customWidth="1" min="16" max="16"/>
    <col width="23.28515625" customWidth="1" min="17" max="17"/>
    <col width="2.85546875" customWidth="1" min="18" max="30"/>
    <col width="8.5703125" customWidth="1" min="31" max="31"/>
    <col width="10.140625" customWidth="1" min="32" max="32"/>
    <col width="11.28515625" customWidth="1" min="33" max="33"/>
    <col width="10.28515625" customWidth="1" min="34" max="34"/>
    <col width="34" customWidth="1" min="35" max="35"/>
    <col width="35.7109375" customWidth="1" min="36" max="36"/>
  </cols>
  <sheetData>
    <row r="1" ht="32.25" customHeight="1">
      <c r="A1" s="2" t="inlineStr">
        <is>
          <t>Category</t>
        </is>
      </c>
      <c r="B1" s="2" t="inlineStr">
        <is>
          <t>Description</t>
        </is>
      </c>
      <c r="C1" s="3" t="inlineStr">
        <is>
          <t>Functional Unit</t>
        </is>
      </c>
      <c r="D1" s="3" t="inlineStr">
        <is>
          <t>Location</t>
        </is>
      </c>
      <c r="E1" s="3" t="inlineStr">
        <is>
          <t>Device</t>
        </is>
      </c>
      <c r="F1" s="12" t="inlineStr">
        <is>
          <t>diag_cabinet</t>
        </is>
      </c>
      <c r="G1" s="12" t="inlineStr">
        <is>
          <t>swp_cabinet</t>
        </is>
      </c>
      <c r="H1" s="12" t="inlineStr">
        <is>
          <t>diag_bit</t>
        </is>
      </c>
      <c r="I1" s="4" t="inlineStr">
        <is>
          <t>Data Type</t>
        </is>
      </c>
      <c r="J1" s="4" t="inlineStr">
        <is>
          <t>Direction &lt;/&gt;</t>
        </is>
      </c>
      <c r="K1" s="3" t="inlineStr">
        <is>
          <t>I/O Offset Byte</t>
        </is>
      </c>
      <c r="L1" s="3" t="inlineStr">
        <is>
          <t>I/O Bit</t>
        </is>
      </c>
      <c r="M1" s="3" t="inlineStr">
        <is>
          <t>I/O Address Side 1</t>
        </is>
      </c>
      <c r="N1" s="3" t="inlineStr">
        <is>
          <t>I/O Address Side 2</t>
        </is>
      </c>
      <c r="O1" s="2" t="inlineStr">
        <is>
          <t>Signal Name Side 1</t>
        </is>
      </c>
      <c r="P1" s="2" t="inlineStr">
        <is>
          <t>Expression Side 1</t>
        </is>
      </c>
      <c r="Q1" s="2" t="inlineStr">
        <is>
          <t>Signal Name Side 2</t>
        </is>
      </c>
      <c r="AE1" s="2" t="inlineStr">
        <is>
          <t>Side</t>
        </is>
      </c>
      <c r="AF1" s="2" t="inlineStr">
        <is>
          <t>Index</t>
        </is>
      </c>
      <c r="AG1" s="2" t="inlineStr">
        <is>
          <t>Base Node</t>
        </is>
      </c>
      <c r="AH1" s="2" t="inlineStr">
        <is>
          <t>Base Address</t>
        </is>
      </c>
      <c r="AI1" s="2" t="inlineStr">
        <is>
          <t>Input Format</t>
        </is>
      </c>
      <c r="AJ1" s="2" t="inlineStr">
        <is>
          <t>Output Format</t>
        </is>
      </c>
    </row>
    <row r="2">
      <c r="A2" t="inlineStr">
        <is>
          <t>WATCHDOG</t>
        </is>
      </c>
      <c r="B2" t="inlineStr">
        <is>
          <t>Blinking 1Hz</t>
        </is>
      </c>
      <c r="I2" t="inlineStr">
        <is>
          <t>BOOL</t>
        </is>
      </c>
      <c r="J2" s="1" t="inlineStr">
        <is>
          <t>&gt;</t>
        </is>
      </c>
      <c r="K2" s="6" t="n">
        <v>0</v>
      </c>
      <c r="L2" s="6" t="n">
        <v>0</v>
      </c>
      <c r="M2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" t="inlineStr">
        <is>
          <t>PNC_Q_SORTER-01 HEARTBEAT</t>
        </is>
      </c>
      <c r="P2" t="inlineStr">
        <is>
          <t>"Clock 1Hz"</t>
        </is>
      </c>
      <c r="AE2" s="5" t="n">
        <v>1</v>
      </c>
      <c r="AF2" s="9" t="inlineStr">
        <is>
          <t>01</t>
        </is>
      </c>
      <c r="AG2" s="5" t="n">
        <v>10</v>
      </c>
      <c r="AH2" s="5" t="n">
        <v>10000</v>
      </c>
      <c r="AI2" s="5" t="inlineStr">
        <is>
          <t>I&lt;base+offset&gt;/.&lt;bit&gt;</t>
        </is>
      </c>
      <c r="AJ2" s="5">
        <f>SUBSTITUTE(SORTER_PARAMS[[#This Row],[Input Format]], "I", "Q")</f>
        <v/>
      </c>
    </row>
    <row r="3">
      <c r="A3" t="inlineStr">
        <is>
          <t>SAFETY_STATE</t>
        </is>
      </c>
      <c r="B3" t="inlineStr">
        <is>
          <t>Safety Circuit Energized  by PLC (READY)</t>
        </is>
      </c>
      <c r="I3" t="inlineStr">
        <is>
          <t>BOOL</t>
        </is>
      </c>
      <c r="J3" s="1" t="inlineStr">
        <is>
          <t>&gt;</t>
        </is>
      </c>
      <c r="K3" s="6" t="n">
        <v>1</v>
      </c>
      <c r="L3" s="6" t="n">
        <v>0</v>
      </c>
      <c r="M3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" t="inlineStr">
        <is>
          <t>PNC_Q_SORTER-01 POWER ENABLED - NOT CUT</t>
        </is>
      </c>
      <c r="AE3" s="5" t="n">
        <v>2</v>
      </c>
      <c r="AF3" s="9" t="inlineStr">
        <is>
          <t>01</t>
        </is>
      </c>
      <c r="AG3" s="5" t="n">
        <v>10</v>
      </c>
      <c r="AH3" s="5" t="n">
        <v>0</v>
      </c>
      <c r="AI3" s="5">
        <f>"I." &amp;SORTER_PARAMS[[#This Row],[Base Node]] &amp;".&lt;base+offset&gt;/.&lt;bit&gt;"</f>
        <v/>
      </c>
      <c r="AJ3" s="5">
        <f>SUBSTITUTE(SORTER_PARAMS[[#This Row],[Input Format]], "I", "O")</f>
        <v/>
      </c>
    </row>
    <row r="4">
      <c r="A4" t="inlineStr">
        <is>
          <t>SAFETY_STATE</t>
        </is>
      </c>
      <c r="B4" t="inlineStr">
        <is>
          <t>Awaiting EMERGENCY RESET for the area</t>
        </is>
      </c>
      <c r="I4" t="inlineStr">
        <is>
          <t>BOOL</t>
        </is>
      </c>
      <c r="J4" s="1" t="inlineStr">
        <is>
          <t>&gt;</t>
        </is>
      </c>
      <c r="K4" s="8">
        <f>K3</f>
        <v/>
      </c>
      <c r="L4" s="8">
        <f>L3+1</f>
        <v/>
      </c>
      <c r="M4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" t="inlineStr">
        <is>
          <t>PNC_Q_SORTER-01 EMERGENCY READY TO RESET</t>
        </is>
      </c>
    </row>
    <row r="5" ht="17.25" customHeight="1" thickBot="1">
      <c r="A5" t="inlineStr">
        <is>
          <t>SAFETY_STATE</t>
        </is>
      </c>
      <c r="B5" t="inlineStr">
        <is>
          <t>EMERGENCY Circuit Energized by PLC (READY)</t>
        </is>
      </c>
      <c r="I5" t="inlineStr">
        <is>
          <t>BOOL</t>
        </is>
      </c>
      <c r="J5" s="1" t="inlineStr">
        <is>
          <t>&gt;</t>
        </is>
      </c>
      <c r="K5" s="8">
        <f>K4</f>
        <v/>
      </c>
      <c r="L5" s="8">
        <f>L4+1</f>
        <v/>
      </c>
      <c r="M5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" t="inlineStr">
        <is>
          <t>PNC_Q_SORTER-01 EMERGENCY OK</t>
        </is>
      </c>
      <c r="AE5" s="10" t="inlineStr">
        <is>
          <t>AREA</t>
        </is>
      </c>
      <c r="AF5" s="10" t="inlineStr">
        <is>
          <t>DOORS</t>
        </is>
      </c>
      <c r="AG5" s="10" t="inlineStr">
        <is>
          <t>BREAKERS</t>
        </is>
      </c>
      <c r="AH5" s="10" t="inlineStr">
        <is>
          <t>ENCODER</t>
        </is>
      </c>
      <c r="AI5" t="inlineStr">
        <is>
          <t>Column1</t>
        </is>
      </c>
      <c r="AJ5" t="inlineStr">
        <is>
          <t>Column2</t>
        </is>
      </c>
    </row>
    <row r="6" ht="15.75" customHeight="1" thickTop="1">
      <c r="A6" t="inlineStr">
        <is>
          <t>SAFETY_ENCODER</t>
        </is>
      </c>
      <c r="I6" t="inlineStr">
        <is>
          <t>BOOL</t>
        </is>
      </c>
      <c r="J6" s="1" t="inlineStr">
        <is>
          <t>&gt;</t>
        </is>
      </c>
      <c r="K6" s="8">
        <f>K5</f>
        <v/>
      </c>
      <c r="L6" s="8">
        <f>L5+1</f>
        <v/>
      </c>
      <c r="M6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" t="inlineStr">
        <is>
          <t>PNC_Q_SORTER-01 SAFETY ENCODER FAILURE</t>
        </is>
      </c>
      <c r="AE6" s="11" t="n"/>
      <c r="AF6" s="11" t="n"/>
      <c r="AG6" s="11" t="n"/>
      <c r="AH6" s="11" t="n"/>
      <c r="AI6" s="11" t="n"/>
      <c r="AJ6" s="1" t="n"/>
    </row>
    <row r="7">
      <c r="J7" s="1" t="n"/>
      <c r="K7" s="8" t="n"/>
      <c r="L7" s="8" t="n"/>
      <c r="M7" s="7" t="n"/>
      <c r="N7" s="7" t="n"/>
    </row>
    <row r="8">
      <c r="A8" t="inlineStr">
        <is>
          <t>SORTER_STATE</t>
        </is>
      </c>
      <c r="B8" t="inlineStr">
        <is>
          <t>Sorter Running Soft-Feedback</t>
        </is>
      </c>
      <c r="I8" t="inlineStr">
        <is>
          <t>BOOL</t>
        </is>
      </c>
      <c r="J8" s="1" t="inlineStr">
        <is>
          <t>&lt;</t>
        </is>
      </c>
      <c r="K8" s="8" t="n">
        <v>0</v>
      </c>
      <c r="L8" s="8" t="n">
        <v>0</v>
      </c>
      <c r="M8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" t="inlineStr">
        <is>
          <t>PNC_I_SORTER-01 SORTER- RUNNING</t>
        </is>
      </c>
    </row>
    <row r="9">
      <c r="A9" t="inlineStr">
        <is>
          <t>SORTER_COMMANDS</t>
        </is>
      </c>
      <c r="B9" t="inlineStr">
        <is>
          <t>Commissioning-Only EMERGENCY_RESET command</t>
        </is>
      </c>
      <c r="I9" t="inlineStr">
        <is>
          <t>BOOL</t>
        </is>
      </c>
      <c r="J9" s="1" t="inlineStr">
        <is>
          <t>&lt;</t>
        </is>
      </c>
      <c r="K9" s="8" t="n">
        <v>1</v>
      </c>
      <c r="L9" s="8" t="n">
        <v>0</v>
      </c>
      <c r="M9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" t="inlineStr">
        <is>
          <t>PNC_I_SORTER-01 EMERGENCY RESET</t>
        </is>
      </c>
    </row>
    <row r="10">
      <c r="J10" s="1" t="n"/>
      <c r="K10" s="8" t="n"/>
      <c r="L10" s="8" t="n"/>
      <c r="M10" s="7" t="n"/>
      <c r="N10" s="7" t="n"/>
    </row>
    <row r="11">
      <c r="J11" s="1" t="n"/>
      <c r="K11" s="8" t="n"/>
      <c r="L11" s="8" t="n"/>
      <c r="M11" s="7" t="n"/>
      <c r="N11" s="7" t="n"/>
    </row>
    <row r="12">
      <c r="J12" s="1" t="n"/>
      <c r="K12" s="8" t="n"/>
      <c r="L12" s="8" t="n"/>
      <c r="M12" s="7" t="n"/>
      <c r="N12" s="7" t="n"/>
    </row>
    <row r="13">
      <c r="J13" s="1" t="n"/>
      <c r="K13" s="8" t="n"/>
      <c r="L13" s="8" t="n"/>
      <c r="M13" s="7" t="n"/>
      <c r="N13" s="7" t="n"/>
    </row>
    <row r="14">
      <c r="J14" s="1" t="n"/>
      <c r="K14" s="8" t="n"/>
      <c r="L14" s="8" t="n"/>
      <c r="M14" s="7" t="n"/>
      <c r="N14" s="7" t="n"/>
    </row>
    <row r="15">
      <c r="J15" s="1" t="n"/>
      <c r="K15" s="8" t="n"/>
      <c r="L15" s="8" t="n"/>
      <c r="M15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  <row r="16">
      <c r="J16" s="1" t="n"/>
      <c r="K16" s="8" t="n"/>
      <c r="L16" s="8" t="n"/>
      <c r="M16" s="7" t="n"/>
      <c r="N16" s="7" t="n"/>
    </row>
    <row r="17">
      <c r="J17" s="1" t="n"/>
      <c r="K17" s="8" t="n"/>
      <c r="L17" s="8" t="n"/>
      <c r="M17" s="7" t="n"/>
      <c r="N17" s="7" t="n"/>
    </row>
    <row r="18">
      <c r="J18" s="1" t="n"/>
      <c r="K18" s="8" t="n"/>
      <c r="L18" s="8" t="n"/>
      <c r="M18" s="7" t="n"/>
      <c r="N18" s="7" t="n"/>
    </row>
    <row r="19">
      <c r="J19" s="1" t="n"/>
      <c r="K19" s="8" t="n"/>
      <c r="L19" s="8" t="n"/>
      <c r="M19" s="7" t="n"/>
      <c r="N19" s="7" t="n"/>
    </row>
    <row r="20">
      <c r="J20" s="1" t="n"/>
      <c r="K20" s="8" t="n"/>
      <c r="L20" s="8" t="n"/>
      <c r="M20" s="7" t="n"/>
      <c r="N20" s="7" t="n"/>
    </row>
    <row r="21">
      <c r="J21" s="1" t="n"/>
      <c r="K21" s="8" t="n"/>
      <c r="L21" s="8" t="n"/>
      <c r="M21" s="7" t="n"/>
      <c r="N21" s="7" t="n"/>
    </row>
    <row r="22">
      <c r="J22" s="1" t="n"/>
      <c r="K22" s="8" t="n"/>
      <c r="L22" s="8" t="n"/>
      <c r="M22" s="7" t="n"/>
      <c r="N22" s="7" t="n"/>
    </row>
    <row r="23">
      <c r="J23" s="1" t="n"/>
      <c r="K23" s="8" t="n"/>
      <c r="L23" s="8" t="n"/>
      <c r="M23" s="7" t="n"/>
      <c r="N23" s="7" t="n"/>
    </row>
    <row r="24">
      <c r="J24" s="1" t="n"/>
      <c r="K24" s="8" t="n"/>
      <c r="L24" s="8" t="n"/>
      <c r="M24" s="7" t="n"/>
      <c r="N24" s="7" t="n"/>
    </row>
    <row r="25">
      <c r="J25" s="1" t="n"/>
      <c r="K25" s="8" t="n"/>
      <c r="L25" s="8" t="n"/>
      <c r="M25" s="7" t="n"/>
      <c r="N25" s="7" t="n"/>
    </row>
    <row r="26">
      <c r="J26" s="1" t="n"/>
      <c r="K26" s="8" t="n"/>
      <c r="L26" s="8" t="n"/>
      <c r="M26" s="7" t="n"/>
      <c r="N26" s="7" t="n"/>
    </row>
    <row r="27">
      <c r="J27" s="1" t="n"/>
      <c r="K27" s="8" t="n"/>
      <c r="L27" s="8" t="n"/>
      <c r="M27" s="7" t="n"/>
      <c r="N27" s="7" t="n"/>
    </row>
    <row r="28">
      <c r="J28" s="1" t="n"/>
      <c r="K28" s="8" t="n"/>
      <c r="L28" s="8" t="n"/>
      <c r="M28" s="7" t="n"/>
      <c r="N28" s="7" t="n"/>
    </row>
    <row r="29">
      <c r="J29" s="1" t="n"/>
      <c r="K29" s="8" t="n"/>
      <c r="L29" s="8" t="n"/>
      <c r="M29" s="7" t="n"/>
      <c r="N29" s="7" t="n"/>
    </row>
    <row r="30">
      <c r="J30" s="1" t="n"/>
      <c r="K30" s="8" t="n"/>
      <c r="L30" s="8" t="n"/>
      <c r="M30" s="7" t="n"/>
      <c r="N30" s="7" t="n"/>
    </row>
    <row r="31">
      <c r="K31" s="7" t="n"/>
      <c r="L31" s="7" t="n"/>
      <c r="M31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  <row r="32">
      <c r="A32" t="inlineStr">
        <is>
          <t>Z1</t>
        </is>
      </c>
      <c r="B32" t="inlineStr">
        <is>
          <t>Emergency Status Feedback Area  [ =S1+MS1.CC1-Q66501 ]</t>
        </is>
      </c>
      <c r="C32" t="inlineStr">
        <is>
          <t>=S1</t>
        </is>
      </c>
      <c r="D32" t="inlineStr">
        <is>
          <t>+MS1.CC1</t>
        </is>
      </c>
      <c r="E32" t="inlineStr">
        <is>
          <t>-Q66501</t>
        </is>
      </c>
      <c r="F32" t="inlineStr">
        <is>
          <t>015</t>
        </is>
      </c>
      <c r="H32" t="inlineStr">
        <is>
          <t>01</t>
        </is>
      </c>
      <c r="I32" t="inlineStr">
        <is>
          <t>BOOL</t>
        </is>
      </c>
      <c r="J32" t="inlineStr">
        <is>
          <t>&gt;</t>
        </is>
      </c>
      <c r="K32" t="n">
        <v>10</v>
      </c>
      <c r="L32" t="n">
        <v>0</v>
      </c>
      <c r="M3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" t="inlineStr">
        <is>
          <t>PNC_Q_SORTER-01_Emergency Status Feedback Area  [ =S1+MS1.CC1-Q66501 ]</t>
        </is>
      </c>
      <c r="P32" t="inlineStr">
        <is>
          <t>"Emergency Status Feedback Area  [ =S1+MS1.CC1-Q66501 ]"</t>
        </is>
      </c>
    </row>
    <row r="33">
      <c r="A33" t="inlineStr">
        <is>
          <t>Z1</t>
        </is>
      </c>
      <c r="B33" t="inlineStr"/>
      <c r="C33" t="inlineStr"/>
      <c r="D33" t="inlineStr"/>
      <c r="E33" t="inlineStr"/>
      <c r="I33" t="inlineStr">
        <is>
          <t>BOOL</t>
        </is>
      </c>
      <c r="J33" t="inlineStr">
        <is>
          <t>&gt;</t>
        </is>
      </c>
      <c r="K33" t="n">
        <v>10</v>
      </c>
      <c r="L33" t="n">
        <v>1</v>
      </c>
      <c r="M3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" t="inlineStr"/>
      <c r="P33" t="inlineStr"/>
    </row>
    <row r="34">
      <c r="A34" t="inlineStr">
        <is>
          <t>Z1</t>
        </is>
      </c>
      <c r="B34" t="inlineStr"/>
      <c r="C34" t="inlineStr"/>
      <c r="D34" t="inlineStr"/>
      <c r="E34" t="inlineStr"/>
      <c r="I34" t="inlineStr">
        <is>
          <t>BOOL</t>
        </is>
      </c>
      <c r="J34" t="inlineStr">
        <is>
          <t>&gt;</t>
        </is>
      </c>
      <c r="K34" t="n">
        <v>10</v>
      </c>
      <c r="L34" t="n">
        <v>2</v>
      </c>
      <c r="M3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" t="inlineStr"/>
      <c r="P34" t="inlineStr"/>
    </row>
    <row r="35">
      <c r="A35" t="inlineStr">
        <is>
          <t>Z1</t>
        </is>
      </c>
      <c r="B35" t="inlineStr"/>
      <c r="C35" t="inlineStr"/>
      <c r="D35" t="inlineStr"/>
      <c r="E35" t="inlineStr"/>
      <c r="I35" t="inlineStr">
        <is>
          <t>BOOL</t>
        </is>
      </c>
      <c r="J35" t="inlineStr">
        <is>
          <t>&gt;</t>
        </is>
      </c>
      <c r="K35" t="n">
        <v>10</v>
      </c>
      <c r="L35" t="n">
        <v>3</v>
      </c>
      <c r="M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" t="inlineStr"/>
      <c r="P35" t="inlineStr"/>
    </row>
    <row r="36">
      <c r="A36" t="inlineStr">
        <is>
          <t>Z1</t>
        </is>
      </c>
      <c r="B36" t="inlineStr"/>
      <c r="C36" t="inlineStr"/>
      <c r="D36" t="inlineStr"/>
      <c r="E36" t="inlineStr"/>
      <c r="I36" t="inlineStr">
        <is>
          <t>BOOL</t>
        </is>
      </c>
      <c r="J36" t="inlineStr">
        <is>
          <t>&gt;</t>
        </is>
      </c>
      <c r="K36" t="n">
        <v>10</v>
      </c>
      <c r="L36" t="n">
        <v>4</v>
      </c>
      <c r="M3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" t="inlineStr"/>
      <c r="P36" t="inlineStr"/>
    </row>
    <row r="37">
      <c r="A37" t="inlineStr">
        <is>
          <t>Z1</t>
        </is>
      </c>
      <c r="B37" t="inlineStr"/>
      <c r="C37" t="inlineStr"/>
      <c r="D37" t="inlineStr"/>
      <c r="E37" t="inlineStr"/>
      <c r="I37" t="inlineStr">
        <is>
          <t>BOOL</t>
        </is>
      </c>
      <c r="J37" t="inlineStr">
        <is>
          <t>&gt;</t>
        </is>
      </c>
      <c r="K37" t="n">
        <v>10</v>
      </c>
      <c r="L37" t="n">
        <v>5</v>
      </c>
      <c r="M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7" t="inlineStr"/>
      <c r="P37" t="inlineStr"/>
    </row>
    <row r="38">
      <c r="A38" t="inlineStr">
        <is>
          <t>Z1</t>
        </is>
      </c>
      <c r="B38" t="inlineStr"/>
      <c r="C38" t="inlineStr"/>
      <c r="D38" t="inlineStr"/>
      <c r="E38" t="inlineStr"/>
      <c r="I38" t="inlineStr">
        <is>
          <t>BOOL</t>
        </is>
      </c>
      <c r="J38" t="inlineStr">
        <is>
          <t>&gt;</t>
        </is>
      </c>
      <c r="K38" t="n">
        <v>10</v>
      </c>
      <c r="L38" t="n">
        <v>6</v>
      </c>
      <c r="M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8" t="inlineStr"/>
      <c r="P38" t="inlineStr"/>
    </row>
    <row r="39">
      <c r="A39" t="inlineStr">
        <is>
          <t>Z1</t>
        </is>
      </c>
      <c r="B39" t="inlineStr"/>
      <c r="C39" t="inlineStr"/>
      <c r="D39" t="inlineStr"/>
      <c r="E39" t="inlineStr"/>
      <c r="I39" t="inlineStr">
        <is>
          <t>BOOL</t>
        </is>
      </c>
      <c r="J39" t="inlineStr">
        <is>
          <t>&gt;</t>
        </is>
      </c>
      <c r="K39" t="n">
        <v>10</v>
      </c>
      <c r="L39" t="n">
        <v>7</v>
      </c>
      <c r="M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9" t="inlineStr"/>
      <c r="P39" t="inlineStr"/>
    </row>
    <row r="40">
      <c r="A40" t="inlineStr">
        <is>
          <t>Z1</t>
        </is>
      </c>
      <c r="B40" t="inlineStr"/>
      <c r="C40" t="inlineStr"/>
      <c r="D40" t="inlineStr"/>
      <c r="E40" t="inlineStr"/>
      <c r="I40" t="inlineStr">
        <is>
          <t>BOOL</t>
        </is>
      </c>
      <c r="J40" t="inlineStr">
        <is>
          <t>&gt;</t>
        </is>
      </c>
      <c r="K40" t="n">
        <v>11</v>
      </c>
      <c r="L40" t="n">
        <v>0</v>
      </c>
      <c r="M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0" t="inlineStr"/>
      <c r="P40" t="inlineStr"/>
    </row>
    <row r="41">
      <c r="A41" t="inlineStr">
        <is>
          <t>Z1</t>
        </is>
      </c>
      <c r="B41" t="inlineStr"/>
      <c r="C41" t="inlineStr"/>
      <c r="D41" t="inlineStr"/>
      <c r="E41" t="inlineStr"/>
      <c r="I41" t="inlineStr">
        <is>
          <t>BOOL</t>
        </is>
      </c>
      <c r="J41" t="inlineStr">
        <is>
          <t>&gt;</t>
        </is>
      </c>
      <c r="K41" t="n">
        <v>11</v>
      </c>
      <c r="L41" t="n">
        <v>1</v>
      </c>
      <c r="M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1" t="inlineStr"/>
      <c r="P41" t="inlineStr"/>
    </row>
    <row r="42">
      <c r="A42" t="inlineStr">
        <is>
          <t>Z1</t>
        </is>
      </c>
      <c r="B42" t="inlineStr"/>
      <c r="C42" t="inlineStr"/>
      <c r="D42" t="inlineStr"/>
      <c r="E42" t="inlineStr"/>
      <c r="I42" t="inlineStr">
        <is>
          <t>BOOL</t>
        </is>
      </c>
      <c r="J42" t="inlineStr">
        <is>
          <t>&gt;</t>
        </is>
      </c>
      <c r="K42" t="n">
        <v>11</v>
      </c>
      <c r="L42" t="n">
        <v>2</v>
      </c>
      <c r="M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2" t="inlineStr"/>
      <c r="P42" t="inlineStr"/>
    </row>
    <row r="43">
      <c r="A43" t="inlineStr">
        <is>
          <t>Z1</t>
        </is>
      </c>
      <c r="B43" t="inlineStr"/>
      <c r="C43" t="inlineStr"/>
      <c r="D43" t="inlineStr"/>
      <c r="E43" t="inlineStr"/>
      <c r="I43" t="inlineStr">
        <is>
          <t>BOOL</t>
        </is>
      </c>
      <c r="J43" t="inlineStr">
        <is>
          <t>&gt;</t>
        </is>
      </c>
      <c r="K43" t="n">
        <v>11</v>
      </c>
      <c r="L43" t="n">
        <v>3</v>
      </c>
      <c r="M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3" t="inlineStr"/>
      <c r="P43" t="inlineStr"/>
    </row>
    <row r="44">
      <c r="A44" t="inlineStr">
        <is>
          <t>Z1</t>
        </is>
      </c>
      <c r="B44" t="inlineStr"/>
      <c r="C44" t="inlineStr"/>
      <c r="D44" t="inlineStr"/>
      <c r="E44" t="inlineStr"/>
      <c r="I44" t="inlineStr">
        <is>
          <t>BOOL</t>
        </is>
      </c>
      <c r="J44" t="inlineStr">
        <is>
          <t>&gt;</t>
        </is>
      </c>
      <c r="K44" t="n">
        <v>11</v>
      </c>
      <c r="L44" t="n">
        <v>4</v>
      </c>
      <c r="M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4" t="inlineStr"/>
      <c r="P44" t="inlineStr"/>
    </row>
    <row r="45">
      <c r="A45" t="inlineStr">
        <is>
          <t>Z1</t>
        </is>
      </c>
      <c r="B45" t="inlineStr"/>
      <c r="C45" t="inlineStr"/>
      <c r="D45" t="inlineStr"/>
      <c r="E45" t="inlineStr"/>
      <c r="I45" t="inlineStr">
        <is>
          <t>BOOL</t>
        </is>
      </c>
      <c r="J45" t="inlineStr">
        <is>
          <t>&gt;</t>
        </is>
      </c>
      <c r="K45" t="n">
        <v>11</v>
      </c>
      <c r="L45" t="n">
        <v>5</v>
      </c>
      <c r="M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5" t="inlineStr"/>
      <c r="P45" t="inlineStr"/>
    </row>
    <row r="46">
      <c r="A46" t="inlineStr">
        <is>
          <t>Z1</t>
        </is>
      </c>
      <c r="B46" t="inlineStr"/>
      <c r="C46" t="inlineStr"/>
      <c r="D46" t="inlineStr"/>
      <c r="E46" t="inlineStr"/>
      <c r="I46" t="inlineStr">
        <is>
          <t>BOOL</t>
        </is>
      </c>
      <c r="J46" t="inlineStr">
        <is>
          <t>&gt;</t>
        </is>
      </c>
      <c r="K46" t="n">
        <v>11</v>
      </c>
      <c r="L46" t="n">
        <v>6</v>
      </c>
      <c r="M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6" t="inlineStr"/>
      <c r="P46" t="inlineStr"/>
    </row>
    <row r="47">
      <c r="A47" t="inlineStr">
        <is>
          <t>Z1</t>
        </is>
      </c>
      <c r="B47" t="inlineStr"/>
      <c r="C47" t="inlineStr"/>
      <c r="D47" t="inlineStr"/>
      <c r="E47" t="inlineStr"/>
      <c r="I47" t="inlineStr">
        <is>
          <t>BOOL</t>
        </is>
      </c>
      <c r="J47" t="inlineStr">
        <is>
          <t>&gt;</t>
        </is>
      </c>
      <c r="K47" t="n">
        <v>11</v>
      </c>
      <c r="L47" t="n">
        <v>7</v>
      </c>
      <c r="M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7" t="inlineStr"/>
      <c r="P47" t="inlineStr"/>
    </row>
    <row r="49">
      <c r="A49" t="inlineStr">
        <is>
          <t>B1/2</t>
        </is>
      </c>
      <c r="B49" t="inlineStr">
        <is>
          <t>Safety Breaker [ =S1+MS1.CC1-Q67001 ]</t>
        </is>
      </c>
      <c r="C49" t="inlineStr">
        <is>
          <t>=S1</t>
        </is>
      </c>
      <c r="D49" t="inlineStr">
        <is>
          <t>+MS1.CC1</t>
        </is>
      </c>
      <c r="E49" t="inlineStr">
        <is>
          <t>-Q67001</t>
        </is>
      </c>
      <c r="F49" t="inlineStr">
        <is>
          <t>012</t>
        </is>
      </c>
      <c r="H49" t="inlineStr">
        <is>
          <t>00</t>
        </is>
      </c>
      <c r="I49" t="inlineStr">
        <is>
          <t>BOOL</t>
        </is>
      </c>
      <c r="J49" t="inlineStr">
        <is>
          <t>&gt;</t>
        </is>
      </c>
      <c r="K49" t="n">
        <v>12</v>
      </c>
      <c r="L49" t="n">
        <v>0</v>
      </c>
      <c r="M4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9" t="inlineStr">
        <is>
          <t>PNC_Q_SORTER-01_Safety Breaker [ =S1+MS1.CC1-Q67001 ]</t>
        </is>
      </c>
      <c r="P49" t="inlineStr">
        <is>
          <t>"01_Pushbutton"."Safety Breaker [ =S1+MS1.CC1-Q67001 ]"</t>
        </is>
      </c>
    </row>
    <row r="50">
      <c r="A50" t="inlineStr">
        <is>
          <t>B1/2</t>
        </is>
      </c>
      <c r="B50" t="inlineStr"/>
      <c r="C50" t="inlineStr"/>
      <c r="D50" t="inlineStr"/>
      <c r="E50" t="inlineStr"/>
      <c r="I50" t="inlineStr">
        <is>
          <t>BOOL</t>
        </is>
      </c>
      <c r="J50" t="inlineStr">
        <is>
          <t>&gt;</t>
        </is>
      </c>
      <c r="K50" t="n">
        <v>12</v>
      </c>
      <c r="L50" t="n">
        <v>1</v>
      </c>
      <c r="M5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0" t="inlineStr"/>
      <c r="P50" t="inlineStr"/>
    </row>
    <row r="51">
      <c r="A51" t="inlineStr">
        <is>
          <t>B1/2</t>
        </is>
      </c>
      <c r="B51" t="inlineStr"/>
      <c r="C51" t="inlineStr"/>
      <c r="D51" t="inlineStr"/>
      <c r="E51" t="inlineStr"/>
      <c r="I51" t="inlineStr">
        <is>
          <t>BOOL</t>
        </is>
      </c>
      <c r="J51" t="inlineStr">
        <is>
          <t>&gt;</t>
        </is>
      </c>
      <c r="K51" t="n">
        <v>12</v>
      </c>
      <c r="L51" t="n">
        <v>2</v>
      </c>
      <c r="M5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1" t="inlineStr"/>
      <c r="P51" t="inlineStr"/>
    </row>
    <row r="52">
      <c r="A52" t="inlineStr">
        <is>
          <t>B1/2</t>
        </is>
      </c>
      <c r="B52" t="inlineStr"/>
      <c r="C52" t="inlineStr"/>
      <c r="D52" t="inlineStr"/>
      <c r="E52" t="inlineStr"/>
      <c r="I52" t="inlineStr">
        <is>
          <t>BOOL</t>
        </is>
      </c>
      <c r="J52" t="inlineStr">
        <is>
          <t>&gt;</t>
        </is>
      </c>
      <c r="K52" t="n">
        <v>12</v>
      </c>
      <c r="L52" t="n">
        <v>3</v>
      </c>
      <c r="M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2" t="inlineStr"/>
      <c r="P52" t="inlineStr"/>
    </row>
    <row r="53">
      <c r="A53" t="inlineStr">
        <is>
          <t>B1/2</t>
        </is>
      </c>
      <c r="B53" t="inlineStr"/>
      <c r="C53" t="inlineStr"/>
      <c r="D53" t="inlineStr"/>
      <c r="E53" t="inlineStr"/>
      <c r="I53" t="inlineStr">
        <is>
          <t>BOOL</t>
        </is>
      </c>
      <c r="J53" t="inlineStr">
        <is>
          <t>&gt;</t>
        </is>
      </c>
      <c r="K53" t="n">
        <v>12</v>
      </c>
      <c r="L53" t="n">
        <v>4</v>
      </c>
      <c r="M5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3" t="inlineStr"/>
      <c r="P53" t="inlineStr"/>
    </row>
    <row r="54">
      <c r="A54" t="inlineStr">
        <is>
          <t>B1/2</t>
        </is>
      </c>
      <c r="B54" t="inlineStr"/>
      <c r="C54" t="inlineStr"/>
      <c r="D54" t="inlineStr"/>
      <c r="E54" t="inlineStr"/>
      <c r="I54" t="inlineStr">
        <is>
          <t>BOOL</t>
        </is>
      </c>
      <c r="J54" t="inlineStr">
        <is>
          <t>&gt;</t>
        </is>
      </c>
      <c r="K54" t="n">
        <v>12</v>
      </c>
      <c r="L54" t="n">
        <v>5</v>
      </c>
      <c r="M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4" t="inlineStr"/>
      <c r="P54" t="inlineStr"/>
    </row>
    <row r="55">
      <c r="A55" t="inlineStr">
        <is>
          <t>B1/2</t>
        </is>
      </c>
      <c r="B55" t="inlineStr"/>
      <c r="C55" t="inlineStr"/>
      <c r="D55" t="inlineStr"/>
      <c r="E55" t="inlineStr"/>
      <c r="I55" t="inlineStr">
        <is>
          <t>BOOL</t>
        </is>
      </c>
      <c r="J55" t="inlineStr">
        <is>
          <t>&gt;</t>
        </is>
      </c>
      <c r="K55" t="n">
        <v>12</v>
      </c>
      <c r="L55" t="n">
        <v>6</v>
      </c>
      <c r="M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5" t="inlineStr"/>
      <c r="P55" t="inlineStr"/>
    </row>
    <row r="56">
      <c r="A56" t="inlineStr">
        <is>
          <t>B1/2</t>
        </is>
      </c>
      <c r="B56" t="inlineStr"/>
      <c r="C56" t="inlineStr"/>
      <c r="D56" t="inlineStr"/>
      <c r="E56" t="inlineStr"/>
      <c r="I56" t="inlineStr">
        <is>
          <t>BOOL</t>
        </is>
      </c>
      <c r="J56" t="inlineStr">
        <is>
          <t>&gt;</t>
        </is>
      </c>
      <c r="K56" t="n">
        <v>12</v>
      </c>
      <c r="L56" t="n">
        <v>7</v>
      </c>
      <c r="M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6" t="inlineStr"/>
      <c r="P56" t="inlineStr"/>
    </row>
    <row r="57">
      <c r="A57" t="inlineStr">
        <is>
          <t>B1/2</t>
        </is>
      </c>
      <c r="B57" t="inlineStr"/>
      <c r="C57" t="inlineStr"/>
      <c r="D57" t="inlineStr"/>
      <c r="E57" t="inlineStr"/>
      <c r="I57" t="inlineStr">
        <is>
          <t>BOOL</t>
        </is>
      </c>
      <c r="J57" t="inlineStr">
        <is>
          <t>&gt;</t>
        </is>
      </c>
      <c r="K57" t="n">
        <v>13</v>
      </c>
      <c r="L57" t="n">
        <v>0</v>
      </c>
      <c r="M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7" t="inlineStr"/>
      <c r="P57" t="inlineStr"/>
    </row>
    <row r="58">
      <c r="A58" t="inlineStr">
        <is>
          <t>B1/2</t>
        </is>
      </c>
      <c r="B58" t="inlineStr"/>
      <c r="C58" t="inlineStr"/>
      <c r="D58" t="inlineStr"/>
      <c r="E58" t="inlineStr"/>
      <c r="I58" t="inlineStr">
        <is>
          <t>BOOL</t>
        </is>
      </c>
      <c r="J58" t="inlineStr">
        <is>
          <t>&gt;</t>
        </is>
      </c>
      <c r="K58" t="n">
        <v>13</v>
      </c>
      <c r="L58" t="n">
        <v>1</v>
      </c>
      <c r="M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8" t="inlineStr"/>
      <c r="P58" t="inlineStr"/>
    </row>
    <row r="59">
      <c r="A59" t="inlineStr">
        <is>
          <t>B1/2</t>
        </is>
      </c>
      <c r="B59" t="inlineStr"/>
      <c r="C59" t="inlineStr"/>
      <c r="D59" t="inlineStr"/>
      <c r="E59" t="inlineStr"/>
      <c r="I59" t="inlineStr">
        <is>
          <t>BOOL</t>
        </is>
      </c>
      <c r="J59" t="inlineStr">
        <is>
          <t>&gt;</t>
        </is>
      </c>
      <c r="K59" t="n">
        <v>13</v>
      </c>
      <c r="L59" t="n">
        <v>2</v>
      </c>
      <c r="M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9" t="inlineStr"/>
      <c r="P59" t="inlineStr"/>
    </row>
    <row r="60">
      <c r="A60" t="inlineStr">
        <is>
          <t>B1/2</t>
        </is>
      </c>
      <c r="B60" t="inlineStr"/>
      <c r="C60" t="inlineStr"/>
      <c r="D60" t="inlineStr"/>
      <c r="E60" t="inlineStr"/>
      <c r="I60" t="inlineStr">
        <is>
          <t>BOOL</t>
        </is>
      </c>
      <c r="J60" t="inlineStr">
        <is>
          <t>&gt;</t>
        </is>
      </c>
      <c r="K60" t="n">
        <v>13</v>
      </c>
      <c r="L60" t="n">
        <v>3</v>
      </c>
      <c r="M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0" t="inlineStr"/>
      <c r="P60" t="inlineStr"/>
    </row>
    <row r="61">
      <c r="A61" t="inlineStr">
        <is>
          <t>B1/2</t>
        </is>
      </c>
      <c r="B61" t="inlineStr"/>
      <c r="C61" t="inlineStr"/>
      <c r="D61" t="inlineStr"/>
      <c r="E61" t="inlineStr"/>
      <c r="I61" t="inlineStr">
        <is>
          <t>BOOL</t>
        </is>
      </c>
      <c r="J61" t="inlineStr">
        <is>
          <t>&gt;</t>
        </is>
      </c>
      <c r="K61" t="n">
        <v>13</v>
      </c>
      <c r="L61" t="n">
        <v>4</v>
      </c>
      <c r="M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1" t="inlineStr"/>
      <c r="P61" t="inlineStr"/>
    </row>
    <row r="62">
      <c r="A62" t="inlineStr">
        <is>
          <t>B1/2</t>
        </is>
      </c>
      <c r="B62" t="inlineStr"/>
      <c r="C62" t="inlineStr"/>
      <c r="D62" t="inlineStr"/>
      <c r="E62" t="inlineStr"/>
      <c r="I62" t="inlineStr">
        <is>
          <t>BOOL</t>
        </is>
      </c>
      <c r="J62" t="inlineStr">
        <is>
          <t>&gt;</t>
        </is>
      </c>
      <c r="K62" t="n">
        <v>13</v>
      </c>
      <c r="L62" t="n">
        <v>5</v>
      </c>
      <c r="M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2" t="inlineStr"/>
      <c r="P62" t="inlineStr"/>
    </row>
    <row r="63">
      <c r="A63" t="inlineStr">
        <is>
          <t>B1/2</t>
        </is>
      </c>
      <c r="B63" t="inlineStr"/>
      <c r="C63" t="inlineStr"/>
      <c r="D63" t="inlineStr"/>
      <c r="E63" t="inlineStr"/>
      <c r="I63" t="inlineStr">
        <is>
          <t>BOOL</t>
        </is>
      </c>
      <c r="J63" t="inlineStr">
        <is>
          <t>&gt;</t>
        </is>
      </c>
      <c r="K63" t="n">
        <v>13</v>
      </c>
      <c r="L63" t="n">
        <v>6</v>
      </c>
      <c r="M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3" t="inlineStr"/>
      <c r="P63" t="inlineStr"/>
    </row>
    <row r="64">
      <c r="A64" t="inlineStr">
        <is>
          <t>B1/2</t>
        </is>
      </c>
      <c r="B64" t="inlineStr"/>
      <c r="C64" t="inlineStr"/>
      <c r="D64" t="inlineStr"/>
      <c r="E64" t="inlineStr"/>
      <c r="I64" t="inlineStr">
        <is>
          <t>BOOL</t>
        </is>
      </c>
      <c r="J64" t="inlineStr">
        <is>
          <t>&gt;</t>
        </is>
      </c>
      <c r="K64" t="n">
        <v>13</v>
      </c>
      <c r="L64" t="n">
        <v>7</v>
      </c>
      <c r="M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4" t="inlineStr"/>
      <c r="P64" t="inlineStr"/>
    </row>
    <row r="66">
      <c r="A66" t="inlineStr">
        <is>
          <t>F1/2</t>
        </is>
      </c>
      <c r="B66" t="inlineStr">
        <is>
          <t>Fire Alarm [ =S1+MS1.CC1-X40001 ] F1/2</t>
        </is>
      </c>
      <c r="C66" t="inlineStr">
        <is>
          <t>=S1</t>
        </is>
      </c>
      <c r="D66" t="inlineStr">
        <is>
          <t>+MS1.CC1</t>
        </is>
      </c>
      <c r="E66" t="inlineStr">
        <is>
          <t>-X40001</t>
        </is>
      </c>
      <c r="F66" t="inlineStr">
        <is>
          <t>013</t>
        </is>
      </c>
      <c r="H66" t="inlineStr">
        <is>
          <t>00</t>
        </is>
      </c>
      <c r="I66" t="inlineStr">
        <is>
          <t>BOOL</t>
        </is>
      </c>
      <c r="J66" t="inlineStr">
        <is>
          <t>&gt;</t>
        </is>
      </c>
      <c r="K66" t="n">
        <v>14</v>
      </c>
      <c r="L66" t="n">
        <v>0</v>
      </c>
      <c r="M6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6" t="inlineStr">
        <is>
          <t>PNC_Q_SORTER-01_Fire Alarm [ =S1+MS1.CC1-X40001 ] F1/2</t>
        </is>
      </c>
      <c r="P66" t="inlineStr">
        <is>
          <t>"Fire Alarm [ =S1+MS1.CC1-X40001 ] F1/2"</t>
        </is>
      </c>
    </row>
    <row r="67">
      <c r="A67" t="inlineStr">
        <is>
          <t>F1/2</t>
        </is>
      </c>
      <c r="B67" t="inlineStr"/>
      <c r="C67" t="inlineStr"/>
      <c r="D67" t="inlineStr"/>
      <c r="E67" t="inlineStr"/>
      <c r="I67" t="inlineStr">
        <is>
          <t>BOOL</t>
        </is>
      </c>
      <c r="J67" t="inlineStr">
        <is>
          <t>&gt;</t>
        </is>
      </c>
      <c r="K67" t="n">
        <v>14</v>
      </c>
      <c r="L67" t="n">
        <v>1</v>
      </c>
      <c r="M6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7" t="inlineStr"/>
      <c r="P67" t="inlineStr"/>
    </row>
    <row r="68">
      <c r="A68" t="inlineStr">
        <is>
          <t>F1/2</t>
        </is>
      </c>
      <c r="B68" t="inlineStr"/>
      <c r="C68" t="inlineStr"/>
      <c r="D68" t="inlineStr"/>
      <c r="E68" t="inlineStr"/>
      <c r="I68" t="inlineStr">
        <is>
          <t>BOOL</t>
        </is>
      </c>
      <c r="J68" t="inlineStr">
        <is>
          <t>&gt;</t>
        </is>
      </c>
      <c r="K68" t="n">
        <v>14</v>
      </c>
      <c r="L68" t="n">
        <v>2</v>
      </c>
      <c r="M6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8" t="inlineStr"/>
      <c r="P68" t="inlineStr"/>
    </row>
    <row r="69">
      <c r="A69" t="inlineStr">
        <is>
          <t>F1/2</t>
        </is>
      </c>
      <c r="B69" t="inlineStr"/>
      <c r="C69" t="inlineStr"/>
      <c r="D69" t="inlineStr"/>
      <c r="E69" t="inlineStr"/>
      <c r="I69" t="inlineStr">
        <is>
          <t>BOOL</t>
        </is>
      </c>
      <c r="J69" t="inlineStr">
        <is>
          <t>&gt;</t>
        </is>
      </c>
      <c r="K69" t="n">
        <v>14</v>
      </c>
      <c r="L69" t="n">
        <v>3</v>
      </c>
      <c r="M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9" t="inlineStr"/>
      <c r="P69" t="inlineStr"/>
    </row>
    <row r="70">
      <c r="A70" t="inlineStr">
        <is>
          <t>F1/2</t>
        </is>
      </c>
      <c r="B70" t="inlineStr"/>
      <c r="C70" t="inlineStr"/>
      <c r="D70" t="inlineStr"/>
      <c r="E70" t="inlineStr"/>
      <c r="I70" t="inlineStr">
        <is>
          <t>BOOL</t>
        </is>
      </c>
      <c r="J70" t="inlineStr">
        <is>
          <t>&gt;</t>
        </is>
      </c>
      <c r="K70" t="n">
        <v>14</v>
      </c>
      <c r="L70" t="n">
        <v>4</v>
      </c>
      <c r="M7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0" t="inlineStr"/>
      <c r="P70" t="inlineStr"/>
    </row>
    <row r="71">
      <c r="A71" t="inlineStr">
        <is>
          <t>F1/2</t>
        </is>
      </c>
      <c r="B71" t="inlineStr"/>
      <c r="C71" t="inlineStr"/>
      <c r="D71" t="inlineStr"/>
      <c r="E71" t="inlineStr"/>
      <c r="I71" t="inlineStr">
        <is>
          <t>BOOL</t>
        </is>
      </c>
      <c r="J71" t="inlineStr">
        <is>
          <t>&gt;</t>
        </is>
      </c>
      <c r="K71" t="n">
        <v>14</v>
      </c>
      <c r="L71" t="n">
        <v>5</v>
      </c>
      <c r="M7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1" t="inlineStr"/>
      <c r="P71" t="inlineStr"/>
    </row>
    <row r="72">
      <c r="A72" t="inlineStr">
        <is>
          <t>F1/2</t>
        </is>
      </c>
      <c r="B72" t="inlineStr"/>
      <c r="C72" t="inlineStr"/>
      <c r="D72" t="inlineStr"/>
      <c r="E72" t="inlineStr"/>
      <c r="I72" t="inlineStr">
        <is>
          <t>BOOL</t>
        </is>
      </c>
      <c r="J72" t="inlineStr">
        <is>
          <t>&gt;</t>
        </is>
      </c>
      <c r="K72" t="n">
        <v>14</v>
      </c>
      <c r="L72" t="n">
        <v>6</v>
      </c>
      <c r="M7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2" t="inlineStr"/>
      <c r="P72" t="inlineStr"/>
    </row>
    <row r="73">
      <c r="A73" t="inlineStr">
        <is>
          <t>F1/2</t>
        </is>
      </c>
      <c r="B73" t="inlineStr"/>
      <c r="C73" t="inlineStr"/>
      <c r="D73" t="inlineStr"/>
      <c r="E73" t="inlineStr"/>
      <c r="I73" t="inlineStr">
        <is>
          <t>BOOL</t>
        </is>
      </c>
      <c r="J73" t="inlineStr">
        <is>
          <t>&gt;</t>
        </is>
      </c>
      <c r="K73" t="n">
        <v>14</v>
      </c>
      <c r="L73" t="n">
        <v>7</v>
      </c>
      <c r="M7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3" t="inlineStr"/>
      <c r="P73" t="inlineStr"/>
    </row>
    <row r="74">
      <c r="A74" t="inlineStr">
        <is>
          <t>F1/2</t>
        </is>
      </c>
      <c r="B74" t="inlineStr"/>
      <c r="C74" t="inlineStr"/>
      <c r="D74" t="inlineStr"/>
      <c r="E74" t="inlineStr"/>
      <c r="I74" t="inlineStr">
        <is>
          <t>BOOL</t>
        </is>
      </c>
      <c r="J74" t="inlineStr">
        <is>
          <t>&gt;</t>
        </is>
      </c>
      <c r="K74" t="n">
        <v>15</v>
      </c>
      <c r="L74" t="n">
        <v>0</v>
      </c>
      <c r="M7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4" t="inlineStr"/>
      <c r="P74" t="inlineStr"/>
    </row>
    <row r="75">
      <c r="A75" t="inlineStr">
        <is>
          <t>F1/2</t>
        </is>
      </c>
      <c r="B75" t="inlineStr"/>
      <c r="C75" t="inlineStr"/>
      <c r="D75" t="inlineStr"/>
      <c r="E75" t="inlineStr"/>
      <c r="I75" t="inlineStr">
        <is>
          <t>BOOL</t>
        </is>
      </c>
      <c r="J75" t="inlineStr">
        <is>
          <t>&gt;</t>
        </is>
      </c>
      <c r="K75" t="n">
        <v>15</v>
      </c>
      <c r="L75" t="n">
        <v>1</v>
      </c>
      <c r="M7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5" t="inlineStr"/>
      <c r="P75" t="inlineStr"/>
    </row>
    <row r="76">
      <c r="A76" t="inlineStr">
        <is>
          <t>F1/2</t>
        </is>
      </c>
      <c r="B76" t="inlineStr"/>
      <c r="C76" t="inlineStr"/>
      <c r="D76" t="inlineStr"/>
      <c r="E76" t="inlineStr"/>
      <c r="I76" t="inlineStr">
        <is>
          <t>BOOL</t>
        </is>
      </c>
      <c r="J76" t="inlineStr">
        <is>
          <t>&gt;</t>
        </is>
      </c>
      <c r="K76" t="n">
        <v>15</v>
      </c>
      <c r="L76" t="n">
        <v>2</v>
      </c>
      <c r="M7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6" t="inlineStr"/>
      <c r="P76" t="inlineStr"/>
    </row>
    <row r="77">
      <c r="A77" t="inlineStr">
        <is>
          <t>F1/2</t>
        </is>
      </c>
      <c r="B77" t="inlineStr"/>
      <c r="C77" t="inlineStr"/>
      <c r="D77" t="inlineStr"/>
      <c r="E77" t="inlineStr"/>
      <c r="I77" t="inlineStr">
        <is>
          <t>BOOL</t>
        </is>
      </c>
      <c r="J77" t="inlineStr">
        <is>
          <t>&gt;</t>
        </is>
      </c>
      <c r="K77" t="n">
        <v>15</v>
      </c>
      <c r="L77" t="n">
        <v>3</v>
      </c>
      <c r="M7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7" t="inlineStr"/>
      <c r="P77" t="inlineStr"/>
    </row>
    <row r="78">
      <c r="A78" t="inlineStr">
        <is>
          <t>F1/2</t>
        </is>
      </c>
      <c r="B78" t="inlineStr"/>
      <c r="C78" t="inlineStr"/>
      <c r="D78" t="inlineStr"/>
      <c r="E78" t="inlineStr"/>
      <c r="I78" t="inlineStr">
        <is>
          <t>BOOL</t>
        </is>
      </c>
      <c r="J78" t="inlineStr">
        <is>
          <t>&gt;</t>
        </is>
      </c>
      <c r="K78" t="n">
        <v>15</v>
      </c>
      <c r="L78" t="n">
        <v>4</v>
      </c>
      <c r="M7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8" t="inlineStr"/>
      <c r="P78" t="inlineStr"/>
    </row>
    <row r="79">
      <c r="A79" t="inlineStr">
        <is>
          <t>F1/2</t>
        </is>
      </c>
      <c r="B79" t="inlineStr"/>
      <c r="C79" t="inlineStr"/>
      <c r="D79" t="inlineStr"/>
      <c r="E79" t="inlineStr"/>
      <c r="I79" t="inlineStr">
        <is>
          <t>BOOL</t>
        </is>
      </c>
      <c r="J79" t="inlineStr">
        <is>
          <t>&gt;</t>
        </is>
      </c>
      <c r="K79" t="n">
        <v>15</v>
      </c>
      <c r="L79" t="n">
        <v>5</v>
      </c>
      <c r="M7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9" t="inlineStr"/>
      <c r="P79" t="inlineStr"/>
    </row>
    <row r="80">
      <c r="A80" t="inlineStr">
        <is>
          <t>F1/2</t>
        </is>
      </c>
      <c r="B80" t="inlineStr"/>
      <c r="C80" t="inlineStr"/>
      <c r="D80" t="inlineStr"/>
      <c r="E80" t="inlineStr"/>
      <c r="I80" t="inlineStr">
        <is>
          <t>BOOL</t>
        </is>
      </c>
      <c r="J80" t="inlineStr">
        <is>
          <t>&gt;</t>
        </is>
      </c>
      <c r="K80" t="n">
        <v>15</v>
      </c>
      <c r="L80" t="n">
        <v>6</v>
      </c>
      <c r="M8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0" t="inlineStr"/>
      <c r="P80" t="inlineStr"/>
    </row>
    <row r="81">
      <c r="A81" t="inlineStr">
        <is>
          <t>F1/2</t>
        </is>
      </c>
      <c r="B81" t="inlineStr"/>
      <c r="C81" t="inlineStr"/>
      <c r="D81" t="inlineStr"/>
      <c r="E81" t="inlineStr"/>
      <c r="I81" t="inlineStr">
        <is>
          <t>BOOL</t>
        </is>
      </c>
      <c r="J81" t="inlineStr">
        <is>
          <t>&gt;</t>
        </is>
      </c>
      <c r="K81" t="n">
        <v>15</v>
      </c>
      <c r="L81" t="n">
        <v>7</v>
      </c>
      <c r="M8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1" t="inlineStr"/>
      <c r="P81" t="inlineStr"/>
    </row>
    <row r="83">
      <c r="A83" t="inlineStr">
        <is>
          <t>N1/2</t>
        </is>
      </c>
      <c r="B83" t="inlineStr">
        <is>
          <t>Safety Encoder 0001 Sensor 1 [ =S1+PC1.CC1-X81001 ]</t>
        </is>
      </c>
      <c r="C83" t="inlineStr">
        <is>
          <t>=S1</t>
        </is>
      </c>
      <c r="D83" t="inlineStr">
        <is>
          <t>+PC1.CC1</t>
        </is>
      </c>
      <c r="E83" t="inlineStr">
        <is>
          <t>-X81001</t>
        </is>
      </c>
      <c r="F83" t="inlineStr">
        <is>
          <t>011</t>
        </is>
      </c>
      <c r="H83" t="inlineStr">
        <is>
          <t>00</t>
        </is>
      </c>
      <c r="I83" t="inlineStr">
        <is>
          <t>BOOL</t>
        </is>
      </c>
      <c r="J83" t="inlineStr">
        <is>
          <t>&gt;</t>
        </is>
      </c>
      <c r="K83" t="n">
        <v>16</v>
      </c>
      <c r="L83" t="n">
        <v>0</v>
      </c>
      <c r="M8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3" t="inlineStr">
        <is>
          <t>PNC_Q_SORTER-01_Safety Encoder 0001 Sensor 1 [ =S1+PC1.CC1-X81001 ]</t>
        </is>
      </c>
      <c r="P83" t="inlineStr">
        <is>
          <t>"04_SPEED"."Safety Encoder 0001 Sensor 1 Healthy [ =S1+PC1.CC1-X81001 ]"</t>
        </is>
      </c>
    </row>
    <row r="84">
      <c r="A84" t="inlineStr">
        <is>
          <t>N1/2</t>
        </is>
      </c>
      <c r="B84" t="inlineStr"/>
      <c r="C84" t="inlineStr"/>
      <c r="D84" t="inlineStr"/>
      <c r="E84" t="inlineStr"/>
      <c r="I84" t="inlineStr">
        <is>
          <t>BOOL</t>
        </is>
      </c>
      <c r="J84" t="inlineStr">
        <is>
          <t>&gt;</t>
        </is>
      </c>
      <c r="K84" t="n">
        <v>16</v>
      </c>
      <c r="L84" t="n">
        <v>1</v>
      </c>
      <c r="M8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4" t="inlineStr"/>
      <c r="P84" t="inlineStr"/>
    </row>
    <row r="85">
      <c r="A85" t="inlineStr">
        <is>
          <t>N1/2</t>
        </is>
      </c>
      <c r="B85" t="inlineStr"/>
      <c r="C85" t="inlineStr"/>
      <c r="D85" t="inlineStr"/>
      <c r="E85" t="inlineStr"/>
      <c r="I85" t="inlineStr">
        <is>
          <t>BOOL</t>
        </is>
      </c>
      <c r="J85" t="inlineStr">
        <is>
          <t>&gt;</t>
        </is>
      </c>
      <c r="K85" t="n">
        <v>16</v>
      </c>
      <c r="L85" t="n">
        <v>2</v>
      </c>
      <c r="M8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5" t="inlineStr"/>
      <c r="P85" t="inlineStr"/>
    </row>
    <row r="86">
      <c r="A86" t="inlineStr">
        <is>
          <t>N1/2</t>
        </is>
      </c>
      <c r="B86" t="inlineStr"/>
      <c r="C86" t="inlineStr"/>
      <c r="D86" t="inlineStr"/>
      <c r="E86" t="inlineStr"/>
      <c r="I86" t="inlineStr">
        <is>
          <t>BOOL</t>
        </is>
      </c>
      <c r="J86" t="inlineStr">
        <is>
          <t>&gt;</t>
        </is>
      </c>
      <c r="K86" t="n">
        <v>16</v>
      </c>
      <c r="L86" t="n">
        <v>3</v>
      </c>
      <c r="M8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6" t="inlineStr"/>
      <c r="P86" t="inlineStr"/>
    </row>
    <row r="87">
      <c r="A87" t="inlineStr">
        <is>
          <t>N1/2</t>
        </is>
      </c>
      <c r="B87" t="inlineStr"/>
      <c r="C87" t="inlineStr"/>
      <c r="D87" t="inlineStr"/>
      <c r="E87" t="inlineStr"/>
      <c r="I87" t="inlineStr">
        <is>
          <t>BOOL</t>
        </is>
      </c>
      <c r="J87" t="inlineStr">
        <is>
          <t>&gt;</t>
        </is>
      </c>
      <c r="K87" t="n">
        <v>16</v>
      </c>
      <c r="L87" t="n">
        <v>4</v>
      </c>
      <c r="M8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7" t="inlineStr"/>
      <c r="P87" t="inlineStr"/>
    </row>
    <row r="88">
      <c r="A88" t="inlineStr">
        <is>
          <t>N1/2</t>
        </is>
      </c>
      <c r="B88" t="inlineStr"/>
      <c r="C88" t="inlineStr"/>
      <c r="D88" t="inlineStr"/>
      <c r="E88" t="inlineStr"/>
      <c r="I88" t="inlineStr">
        <is>
          <t>BOOL</t>
        </is>
      </c>
      <c r="J88" t="inlineStr">
        <is>
          <t>&gt;</t>
        </is>
      </c>
      <c r="K88" t="n">
        <v>16</v>
      </c>
      <c r="L88" t="n">
        <v>5</v>
      </c>
      <c r="M8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8" t="inlineStr"/>
      <c r="P88" t="inlineStr"/>
    </row>
    <row r="89">
      <c r="A89" t="inlineStr">
        <is>
          <t>N1/2</t>
        </is>
      </c>
      <c r="B89" t="inlineStr"/>
      <c r="C89" t="inlineStr"/>
      <c r="D89" t="inlineStr"/>
      <c r="E89" t="inlineStr"/>
      <c r="I89" t="inlineStr">
        <is>
          <t>BOOL</t>
        </is>
      </c>
      <c r="J89" t="inlineStr">
        <is>
          <t>&gt;</t>
        </is>
      </c>
      <c r="K89" t="n">
        <v>16</v>
      </c>
      <c r="L89" t="n">
        <v>6</v>
      </c>
      <c r="M8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9" t="inlineStr"/>
      <c r="P89" t="inlineStr"/>
    </row>
    <row r="90">
      <c r="A90" t="inlineStr">
        <is>
          <t>N1/2</t>
        </is>
      </c>
      <c r="B90" t="inlineStr"/>
      <c r="C90" t="inlineStr"/>
      <c r="D90" t="inlineStr"/>
      <c r="E90" t="inlineStr"/>
      <c r="I90" t="inlineStr">
        <is>
          <t>BOOL</t>
        </is>
      </c>
      <c r="J90" t="inlineStr">
        <is>
          <t>&gt;</t>
        </is>
      </c>
      <c r="K90" t="n">
        <v>16</v>
      </c>
      <c r="L90" t="n">
        <v>7</v>
      </c>
      <c r="M9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0" t="inlineStr"/>
      <c r="P90" t="inlineStr"/>
    </row>
    <row r="91">
      <c r="A91" t="inlineStr">
        <is>
          <t>N1/2</t>
        </is>
      </c>
      <c r="B91" t="inlineStr"/>
      <c r="C91" t="inlineStr"/>
      <c r="D91" t="inlineStr"/>
      <c r="E91" t="inlineStr"/>
      <c r="I91" t="inlineStr">
        <is>
          <t>BOOL</t>
        </is>
      </c>
      <c r="J91" t="inlineStr">
        <is>
          <t>&gt;</t>
        </is>
      </c>
      <c r="K91" t="n">
        <v>17</v>
      </c>
      <c r="L91" t="n">
        <v>0</v>
      </c>
      <c r="M9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1" t="inlineStr"/>
      <c r="P91" t="inlineStr"/>
    </row>
    <row r="92">
      <c r="A92" t="inlineStr">
        <is>
          <t>N1/2</t>
        </is>
      </c>
      <c r="B92" t="inlineStr"/>
      <c r="C92" t="inlineStr"/>
      <c r="D92" t="inlineStr"/>
      <c r="E92" t="inlineStr"/>
      <c r="I92" t="inlineStr">
        <is>
          <t>BOOL</t>
        </is>
      </c>
      <c r="J92" t="inlineStr">
        <is>
          <t>&gt;</t>
        </is>
      </c>
      <c r="K92" t="n">
        <v>17</v>
      </c>
      <c r="L92" t="n">
        <v>1</v>
      </c>
      <c r="M9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2" t="inlineStr"/>
      <c r="P92" t="inlineStr"/>
    </row>
    <row r="93">
      <c r="A93" t="inlineStr">
        <is>
          <t>N1/2</t>
        </is>
      </c>
      <c r="B93" t="inlineStr"/>
      <c r="C93" t="inlineStr"/>
      <c r="D93" t="inlineStr"/>
      <c r="E93" t="inlineStr"/>
      <c r="I93" t="inlineStr">
        <is>
          <t>BOOL</t>
        </is>
      </c>
      <c r="J93" t="inlineStr">
        <is>
          <t>&gt;</t>
        </is>
      </c>
      <c r="K93" t="n">
        <v>17</v>
      </c>
      <c r="L93" t="n">
        <v>2</v>
      </c>
      <c r="M9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3" t="inlineStr"/>
      <c r="P93" t="inlineStr"/>
    </row>
    <row r="94">
      <c r="A94" t="inlineStr">
        <is>
          <t>N1/2</t>
        </is>
      </c>
      <c r="B94" t="inlineStr"/>
      <c r="C94" t="inlineStr"/>
      <c r="D94" t="inlineStr"/>
      <c r="E94" t="inlineStr"/>
      <c r="I94" t="inlineStr">
        <is>
          <t>BOOL</t>
        </is>
      </c>
      <c r="J94" t="inlineStr">
        <is>
          <t>&gt;</t>
        </is>
      </c>
      <c r="K94" t="n">
        <v>17</v>
      </c>
      <c r="L94" t="n">
        <v>3</v>
      </c>
      <c r="M9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4" t="inlineStr"/>
      <c r="P94" t="inlineStr"/>
    </row>
    <row r="95">
      <c r="A95" t="inlineStr">
        <is>
          <t>N1/2</t>
        </is>
      </c>
      <c r="B95" t="inlineStr"/>
      <c r="C95" t="inlineStr"/>
      <c r="D95" t="inlineStr"/>
      <c r="E95" t="inlineStr"/>
      <c r="I95" t="inlineStr">
        <is>
          <t>BOOL</t>
        </is>
      </c>
      <c r="J95" t="inlineStr">
        <is>
          <t>&gt;</t>
        </is>
      </c>
      <c r="K95" t="n">
        <v>17</v>
      </c>
      <c r="L95" t="n">
        <v>4</v>
      </c>
      <c r="M9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5" t="inlineStr"/>
      <c r="P95" t="inlineStr"/>
    </row>
    <row r="96">
      <c r="A96" t="inlineStr">
        <is>
          <t>N1/2</t>
        </is>
      </c>
      <c r="B96" t="inlineStr"/>
      <c r="C96" t="inlineStr"/>
      <c r="D96" t="inlineStr"/>
      <c r="E96" t="inlineStr"/>
      <c r="I96" t="inlineStr">
        <is>
          <t>BOOL</t>
        </is>
      </c>
      <c r="J96" t="inlineStr">
        <is>
          <t>&gt;</t>
        </is>
      </c>
      <c r="K96" t="n">
        <v>17</v>
      </c>
      <c r="L96" t="n">
        <v>5</v>
      </c>
      <c r="M9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6" t="inlineStr"/>
      <c r="P96" t="inlineStr"/>
    </row>
    <row r="97">
      <c r="A97" t="inlineStr">
        <is>
          <t>N1/2</t>
        </is>
      </c>
      <c r="B97" t="inlineStr"/>
      <c r="C97" t="inlineStr"/>
      <c r="D97" t="inlineStr"/>
      <c r="E97" t="inlineStr"/>
      <c r="I97" t="inlineStr">
        <is>
          <t>BOOL</t>
        </is>
      </c>
      <c r="J97" t="inlineStr">
        <is>
          <t>&gt;</t>
        </is>
      </c>
      <c r="K97" t="n">
        <v>17</v>
      </c>
      <c r="L97" t="n">
        <v>6</v>
      </c>
      <c r="M9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7" t="inlineStr"/>
      <c r="P97" t="inlineStr"/>
    </row>
    <row r="98">
      <c r="A98" t="inlineStr">
        <is>
          <t>N1/2</t>
        </is>
      </c>
      <c r="B98" t="inlineStr"/>
      <c r="C98" t="inlineStr"/>
      <c r="D98" t="inlineStr"/>
      <c r="E98" t="inlineStr"/>
      <c r="I98" t="inlineStr">
        <is>
          <t>BOOL</t>
        </is>
      </c>
      <c r="J98" t="inlineStr">
        <is>
          <t>&gt;</t>
        </is>
      </c>
      <c r="K98" t="n">
        <v>17</v>
      </c>
      <c r="L98" t="n">
        <v>7</v>
      </c>
      <c r="M9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8" t="inlineStr"/>
      <c r="P98" t="inlineStr"/>
    </row>
    <row r="100">
      <c r="A100" t="inlineStr">
        <is>
          <t>N2/2</t>
        </is>
      </c>
      <c r="B100" t="inlineStr">
        <is>
          <t>Safety Encoder 0001 Sensor 2 [ =S1+PC1.CC1-X81001 ]</t>
        </is>
      </c>
      <c r="C100" t="inlineStr">
        <is>
          <t>=S1</t>
        </is>
      </c>
      <c r="D100" t="inlineStr">
        <is>
          <t>+PC1.CC1</t>
        </is>
      </c>
      <c r="E100" t="inlineStr">
        <is>
          <t>-X81001</t>
        </is>
      </c>
      <c r="F100" t="inlineStr">
        <is>
          <t>011</t>
        </is>
      </c>
      <c r="H100" t="inlineStr">
        <is>
          <t>01</t>
        </is>
      </c>
      <c r="I100" t="inlineStr">
        <is>
          <t>BOOL</t>
        </is>
      </c>
      <c r="J100" t="inlineStr">
        <is>
          <t>&gt;</t>
        </is>
      </c>
      <c r="K100" t="n">
        <v>18</v>
      </c>
      <c r="L100" t="n">
        <v>0</v>
      </c>
      <c r="M10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0" t="inlineStr">
        <is>
          <t>PNC_Q_SORTER-01_Safety Encoder 0001 Sensor 2 [ =S1+PC1.CC1-X81001 ]</t>
        </is>
      </c>
      <c r="P100" t="inlineStr">
        <is>
          <t>"04_SPEED"."Safety Encoder 0001 Sensor 2 Healthy [ =S1+PC1.CC1-X81001 ]"</t>
        </is>
      </c>
    </row>
    <row r="101">
      <c r="A101" t="inlineStr">
        <is>
          <t>N2/2</t>
        </is>
      </c>
      <c r="B101" t="inlineStr"/>
      <c r="C101" t="inlineStr"/>
      <c r="D101" t="inlineStr"/>
      <c r="E101" t="inlineStr"/>
      <c r="I101" t="inlineStr">
        <is>
          <t>BOOL</t>
        </is>
      </c>
      <c r="J101" t="inlineStr">
        <is>
          <t>&gt;</t>
        </is>
      </c>
      <c r="K101" t="n">
        <v>18</v>
      </c>
      <c r="L101" t="n">
        <v>1</v>
      </c>
      <c r="M10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1" t="inlineStr"/>
      <c r="P101" t="inlineStr"/>
    </row>
    <row r="102">
      <c r="A102" t="inlineStr">
        <is>
          <t>N2/2</t>
        </is>
      </c>
      <c r="B102" t="inlineStr"/>
      <c r="C102" t="inlineStr"/>
      <c r="D102" t="inlineStr"/>
      <c r="E102" t="inlineStr"/>
      <c r="I102" t="inlineStr">
        <is>
          <t>BOOL</t>
        </is>
      </c>
      <c r="J102" t="inlineStr">
        <is>
          <t>&gt;</t>
        </is>
      </c>
      <c r="K102" t="n">
        <v>18</v>
      </c>
      <c r="L102" t="n">
        <v>2</v>
      </c>
      <c r="M10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2" t="inlineStr"/>
      <c r="P102" t="inlineStr"/>
    </row>
    <row r="103">
      <c r="A103" t="inlineStr">
        <is>
          <t>N2/2</t>
        </is>
      </c>
      <c r="B103" t="inlineStr"/>
      <c r="C103" t="inlineStr"/>
      <c r="D103" t="inlineStr"/>
      <c r="E103" t="inlineStr"/>
      <c r="I103" t="inlineStr">
        <is>
          <t>BOOL</t>
        </is>
      </c>
      <c r="J103" t="inlineStr">
        <is>
          <t>&gt;</t>
        </is>
      </c>
      <c r="K103" t="n">
        <v>18</v>
      </c>
      <c r="L103" t="n">
        <v>3</v>
      </c>
      <c r="M10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3" t="inlineStr"/>
      <c r="P103" t="inlineStr"/>
    </row>
    <row r="104">
      <c r="A104" t="inlineStr">
        <is>
          <t>N2/2</t>
        </is>
      </c>
      <c r="B104" t="inlineStr"/>
      <c r="C104" t="inlineStr"/>
      <c r="D104" t="inlineStr"/>
      <c r="E104" t="inlineStr"/>
      <c r="I104" t="inlineStr">
        <is>
          <t>BOOL</t>
        </is>
      </c>
      <c r="J104" t="inlineStr">
        <is>
          <t>&gt;</t>
        </is>
      </c>
      <c r="K104" t="n">
        <v>18</v>
      </c>
      <c r="L104" t="n">
        <v>4</v>
      </c>
      <c r="M10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4" t="inlineStr"/>
      <c r="P104" t="inlineStr"/>
    </row>
    <row r="105">
      <c r="A105" t="inlineStr">
        <is>
          <t>N2/2</t>
        </is>
      </c>
      <c r="B105" t="inlineStr"/>
      <c r="C105" t="inlineStr"/>
      <c r="D105" t="inlineStr"/>
      <c r="E105" t="inlineStr"/>
      <c r="I105" t="inlineStr">
        <is>
          <t>BOOL</t>
        </is>
      </c>
      <c r="J105" t="inlineStr">
        <is>
          <t>&gt;</t>
        </is>
      </c>
      <c r="K105" t="n">
        <v>18</v>
      </c>
      <c r="L105" t="n">
        <v>5</v>
      </c>
      <c r="M10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5" t="inlineStr"/>
      <c r="P105" t="inlineStr"/>
    </row>
    <row r="106">
      <c r="A106" t="inlineStr">
        <is>
          <t>N2/2</t>
        </is>
      </c>
      <c r="B106" t="inlineStr"/>
      <c r="C106" t="inlineStr"/>
      <c r="D106" t="inlineStr"/>
      <c r="E106" t="inlineStr"/>
      <c r="I106" t="inlineStr">
        <is>
          <t>BOOL</t>
        </is>
      </c>
      <c r="J106" t="inlineStr">
        <is>
          <t>&gt;</t>
        </is>
      </c>
      <c r="K106" t="n">
        <v>18</v>
      </c>
      <c r="L106" t="n">
        <v>6</v>
      </c>
      <c r="M10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6" t="inlineStr"/>
      <c r="P106" t="inlineStr"/>
    </row>
    <row r="107">
      <c r="A107" t="inlineStr">
        <is>
          <t>N2/2</t>
        </is>
      </c>
      <c r="B107" t="inlineStr"/>
      <c r="C107" t="inlineStr"/>
      <c r="D107" t="inlineStr"/>
      <c r="E107" t="inlineStr"/>
      <c r="I107" t="inlineStr">
        <is>
          <t>BOOL</t>
        </is>
      </c>
      <c r="J107" t="inlineStr">
        <is>
          <t>&gt;</t>
        </is>
      </c>
      <c r="K107" t="n">
        <v>18</v>
      </c>
      <c r="L107" t="n">
        <v>7</v>
      </c>
      <c r="M10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7" t="inlineStr"/>
      <c r="P107" t="inlineStr"/>
    </row>
    <row r="108">
      <c r="A108" t="inlineStr">
        <is>
          <t>N2/2</t>
        </is>
      </c>
      <c r="B108" t="inlineStr"/>
      <c r="C108" t="inlineStr"/>
      <c r="D108" t="inlineStr"/>
      <c r="E108" t="inlineStr"/>
      <c r="I108" t="inlineStr">
        <is>
          <t>BOOL</t>
        </is>
      </c>
      <c r="J108" t="inlineStr">
        <is>
          <t>&gt;</t>
        </is>
      </c>
      <c r="K108" t="n">
        <v>19</v>
      </c>
      <c r="L108" t="n">
        <v>0</v>
      </c>
      <c r="M10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8" t="inlineStr"/>
      <c r="P108" t="inlineStr"/>
    </row>
    <row r="109">
      <c r="A109" t="inlineStr">
        <is>
          <t>N2/2</t>
        </is>
      </c>
      <c r="B109" t="inlineStr"/>
      <c r="C109" t="inlineStr"/>
      <c r="D109" t="inlineStr"/>
      <c r="E109" t="inlineStr"/>
      <c r="I109" t="inlineStr">
        <is>
          <t>BOOL</t>
        </is>
      </c>
      <c r="J109" t="inlineStr">
        <is>
          <t>&gt;</t>
        </is>
      </c>
      <c r="K109" t="n">
        <v>19</v>
      </c>
      <c r="L109" t="n">
        <v>1</v>
      </c>
      <c r="M10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9" t="inlineStr"/>
      <c r="P109" t="inlineStr"/>
    </row>
    <row r="110">
      <c r="A110" t="inlineStr">
        <is>
          <t>N2/2</t>
        </is>
      </c>
      <c r="B110" t="inlineStr"/>
      <c r="C110" t="inlineStr"/>
      <c r="D110" t="inlineStr"/>
      <c r="E110" t="inlineStr"/>
      <c r="I110" t="inlineStr">
        <is>
          <t>BOOL</t>
        </is>
      </c>
      <c r="J110" t="inlineStr">
        <is>
          <t>&gt;</t>
        </is>
      </c>
      <c r="K110" t="n">
        <v>19</v>
      </c>
      <c r="L110" t="n">
        <v>2</v>
      </c>
      <c r="M11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0" t="inlineStr"/>
      <c r="P110" t="inlineStr"/>
    </row>
    <row r="111">
      <c r="A111" t="inlineStr">
        <is>
          <t>N2/2</t>
        </is>
      </c>
      <c r="B111" t="inlineStr"/>
      <c r="C111" t="inlineStr"/>
      <c r="D111" t="inlineStr"/>
      <c r="E111" t="inlineStr"/>
      <c r="I111" t="inlineStr">
        <is>
          <t>BOOL</t>
        </is>
      </c>
      <c r="J111" t="inlineStr">
        <is>
          <t>&gt;</t>
        </is>
      </c>
      <c r="K111" t="n">
        <v>19</v>
      </c>
      <c r="L111" t="n">
        <v>3</v>
      </c>
      <c r="M11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1" t="inlineStr"/>
      <c r="P111" t="inlineStr"/>
    </row>
    <row r="112">
      <c r="A112" t="inlineStr">
        <is>
          <t>N2/2</t>
        </is>
      </c>
      <c r="B112" t="inlineStr"/>
      <c r="C112" t="inlineStr"/>
      <c r="D112" t="inlineStr"/>
      <c r="E112" t="inlineStr"/>
      <c r="I112" t="inlineStr">
        <is>
          <t>BOOL</t>
        </is>
      </c>
      <c r="J112" t="inlineStr">
        <is>
          <t>&gt;</t>
        </is>
      </c>
      <c r="K112" t="n">
        <v>19</v>
      </c>
      <c r="L112" t="n">
        <v>4</v>
      </c>
      <c r="M11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2" t="inlineStr"/>
      <c r="P112" t="inlineStr"/>
    </row>
    <row r="113">
      <c r="A113" t="inlineStr">
        <is>
          <t>N2/2</t>
        </is>
      </c>
      <c r="B113" t="inlineStr"/>
      <c r="C113" t="inlineStr"/>
      <c r="D113" t="inlineStr"/>
      <c r="E113" t="inlineStr"/>
      <c r="I113" t="inlineStr">
        <is>
          <t>BOOL</t>
        </is>
      </c>
      <c r="J113" t="inlineStr">
        <is>
          <t>&gt;</t>
        </is>
      </c>
      <c r="K113" t="n">
        <v>19</v>
      </c>
      <c r="L113" t="n">
        <v>5</v>
      </c>
      <c r="M11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3" t="inlineStr"/>
      <c r="P113" t="inlineStr"/>
    </row>
    <row r="114">
      <c r="A114" t="inlineStr">
        <is>
          <t>N2/2</t>
        </is>
      </c>
      <c r="B114" t="inlineStr"/>
      <c r="C114" t="inlineStr"/>
      <c r="D114" t="inlineStr"/>
      <c r="E114" t="inlineStr"/>
      <c r="I114" t="inlineStr">
        <is>
          <t>BOOL</t>
        </is>
      </c>
      <c r="J114" t="inlineStr">
        <is>
          <t>&gt;</t>
        </is>
      </c>
      <c r="K114" t="n">
        <v>19</v>
      </c>
      <c r="L114" t="n">
        <v>6</v>
      </c>
      <c r="M11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4" t="inlineStr"/>
      <c r="P114" t="inlineStr"/>
    </row>
    <row r="115">
      <c r="A115" t="inlineStr">
        <is>
          <t>N2/2</t>
        </is>
      </c>
      <c r="B115" t="inlineStr"/>
      <c r="C115" t="inlineStr"/>
      <c r="D115" t="inlineStr"/>
      <c r="E115" t="inlineStr"/>
      <c r="I115" t="inlineStr">
        <is>
          <t>BOOL</t>
        </is>
      </c>
      <c r="J115" t="inlineStr">
        <is>
          <t>&gt;</t>
        </is>
      </c>
      <c r="K115" t="n">
        <v>19</v>
      </c>
      <c r="L115" t="n">
        <v>7</v>
      </c>
      <c r="M11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5" t="inlineStr"/>
      <c r="P115" t="inlineStr"/>
    </row>
    <row r="117">
      <c r="A117" t="inlineStr">
        <is>
          <t>DI1/2</t>
        </is>
      </c>
      <c r="B117" t="inlineStr">
        <is>
          <t>Door Closed Safety Input 1 [ =S1+SG1-B1 ]</t>
        </is>
      </c>
      <c r="C117" t="inlineStr">
        <is>
          <t>=S1</t>
        </is>
      </c>
      <c r="D117" t="inlineStr">
        <is>
          <t>+SG1</t>
        </is>
      </c>
      <c r="E117" t="inlineStr">
        <is>
          <t>-B1</t>
        </is>
      </c>
      <c r="F117" t="inlineStr">
        <is>
          <t>010</t>
        </is>
      </c>
      <c r="H117" t="inlineStr">
        <is>
          <t>01</t>
        </is>
      </c>
      <c r="I117" t="inlineStr">
        <is>
          <t>BOOL</t>
        </is>
      </c>
      <c r="J117" t="inlineStr">
        <is>
          <t>&gt;</t>
        </is>
      </c>
      <c r="K117" t="n">
        <v>20</v>
      </c>
      <c r="L117" t="n">
        <v>0</v>
      </c>
      <c r="M11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7" t="inlineStr">
        <is>
          <t>PNC_Q_SORTER-01_Door Closed SAFE_STATE [ =S1+SG1-B1 ]</t>
        </is>
      </c>
      <c r="P117" t="inlineStr">
        <is>
          <t>"07_DOOR"."Door Closed SAFE_STATE [ =S1+SG1-B1 ]"</t>
        </is>
      </c>
    </row>
    <row r="118">
      <c r="A118" t="inlineStr">
        <is>
          <t>DI1/2</t>
        </is>
      </c>
      <c r="B118" t="inlineStr">
        <is>
          <t>Door Closed Safety Input 1 [ =S1+SG2-B1 ]</t>
        </is>
      </c>
      <c r="C118" t="inlineStr">
        <is>
          <t>=S1</t>
        </is>
      </c>
      <c r="D118" t="inlineStr">
        <is>
          <t>+SG2</t>
        </is>
      </c>
      <c r="E118" t="inlineStr">
        <is>
          <t>-B1</t>
        </is>
      </c>
      <c r="F118" t="inlineStr">
        <is>
          <t>010</t>
        </is>
      </c>
      <c r="H118" t="inlineStr">
        <is>
          <t>03</t>
        </is>
      </c>
      <c r="I118" t="inlineStr">
        <is>
          <t>BOOL</t>
        </is>
      </c>
      <c r="J118" t="inlineStr">
        <is>
          <t>&gt;</t>
        </is>
      </c>
      <c r="K118" t="n">
        <v>20</v>
      </c>
      <c r="L118" t="n">
        <v>1</v>
      </c>
      <c r="M11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8" t="inlineStr">
        <is>
          <t>PNC_Q_SORTER-01_Door Closed SAFE_STATE [ =S1+SG2-B1 ]</t>
        </is>
      </c>
      <c r="P118" t="inlineStr">
        <is>
          <t>"07_DOOR"."Door Closed SAFE_STATE [ =S1+SG2-B1 ]"</t>
        </is>
      </c>
    </row>
    <row r="119">
      <c r="A119" t="inlineStr">
        <is>
          <t>DI1/2</t>
        </is>
      </c>
      <c r="B119" t="inlineStr">
        <is>
          <t>Door Closed Safety Input 1 [ =S2+SG3-B1 ]</t>
        </is>
      </c>
      <c r="C119" t="inlineStr">
        <is>
          <t>=S2</t>
        </is>
      </c>
      <c r="D119" t="inlineStr">
        <is>
          <t>+SG3</t>
        </is>
      </c>
      <c r="E119" t="inlineStr">
        <is>
          <t>-B1</t>
        </is>
      </c>
      <c r="F119" t="inlineStr">
        <is>
          <t>010</t>
        </is>
      </c>
      <c r="H119" t="inlineStr">
        <is>
          <t>05</t>
        </is>
      </c>
      <c r="I119" t="inlineStr">
        <is>
          <t>BOOL</t>
        </is>
      </c>
      <c r="J119" t="inlineStr">
        <is>
          <t>&gt;</t>
        </is>
      </c>
      <c r="K119" t="n">
        <v>20</v>
      </c>
      <c r="L119" t="n">
        <v>2</v>
      </c>
      <c r="M11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9" t="inlineStr">
        <is>
          <t>PNC_Q_SORTER-01_Door Closed SAFE_STATE [ =S2+SG3-B1 ]</t>
        </is>
      </c>
      <c r="P119" t="inlineStr">
        <is>
          <t>"07_DOOR"."Door Closed SAFE_STATE [ =S2+SG3-B1 ]"</t>
        </is>
      </c>
    </row>
    <row r="120">
      <c r="A120" t="inlineStr">
        <is>
          <t>DI1/2</t>
        </is>
      </c>
      <c r="B120" t="inlineStr">
        <is>
          <t>Door Closed Safety Input 1 [ =S2+SG4-B1 ]</t>
        </is>
      </c>
      <c r="C120" t="inlineStr">
        <is>
          <t>=S2</t>
        </is>
      </c>
      <c r="D120" t="inlineStr">
        <is>
          <t>+SG4</t>
        </is>
      </c>
      <c r="E120" t="inlineStr">
        <is>
          <t>-B1</t>
        </is>
      </c>
      <c r="F120" t="inlineStr">
        <is>
          <t>010</t>
        </is>
      </c>
      <c r="H120" t="inlineStr">
        <is>
          <t>07</t>
        </is>
      </c>
      <c r="I120" t="inlineStr">
        <is>
          <t>BOOL</t>
        </is>
      </c>
      <c r="J120" t="inlineStr">
        <is>
          <t>&gt;</t>
        </is>
      </c>
      <c r="K120" t="n">
        <v>20</v>
      </c>
      <c r="L120" t="n">
        <v>3</v>
      </c>
      <c r="M12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0" t="inlineStr">
        <is>
          <t>PNC_Q_SORTER-01_Door Closed SAFE_STATE [ =S2+SG4-B1 ]</t>
        </is>
      </c>
      <c r="P120" t="inlineStr">
        <is>
          <t>"07_DOOR"."Door Closed SAFE_STATE [ =S2+SG4-B1 ]"</t>
        </is>
      </c>
    </row>
    <row r="121">
      <c r="A121" t="inlineStr">
        <is>
          <t>DI1/2</t>
        </is>
      </c>
      <c r="B121" t="inlineStr"/>
      <c r="C121" t="inlineStr"/>
      <c r="D121" t="inlineStr"/>
      <c r="E121" t="inlineStr"/>
      <c r="I121" t="inlineStr">
        <is>
          <t>BOOL</t>
        </is>
      </c>
      <c r="J121" t="inlineStr">
        <is>
          <t>&gt;</t>
        </is>
      </c>
      <c r="K121" t="n">
        <v>20</v>
      </c>
      <c r="L121" t="n">
        <v>4</v>
      </c>
      <c r="M12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1" t="inlineStr"/>
      <c r="P121" t="inlineStr"/>
    </row>
    <row r="122">
      <c r="A122" t="inlineStr">
        <is>
          <t>DI1/2</t>
        </is>
      </c>
      <c r="B122" t="inlineStr"/>
      <c r="C122" t="inlineStr"/>
      <c r="D122" t="inlineStr"/>
      <c r="E122" t="inlineStr"/>
      <c r="I122" t="inlineStr">
        <is>
          <t>BOOL</t>
        </is>
      </c>
      <c r="J122" t="inlineStr">
        <is>
          <t>&gt;</t>
        </is>
      </c>
      <c r="K122" t="n">
        <v>20</v>
      </c>
      <c r="L122" t="n">
        <v>5</v>
      </c>
      <c r="M12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2" t="inlineStr"/>
      <c r="P122" t="inlineStr"/>
    </row>
    <row r="123">
      <c r="A123" t="inlineStr">
        <is>
          <t>DI1/2</t>
        </is>
      </c>
      <c r="B123" t="inlineStr"/>
      <c r="C123" t="inlineStr"/>
      <c r="D123" t="inlineStr"/>
      <c r="E123" t="inlineStr"/>
      <c r="I123" t="inlineStr">
        <is>
          <t>BOOL</t>
        </is>
      </c>
      <c r="J123" t="inlineStr">
        <is>
          <t>&gt;</t>
        </is>
      </c>
      <c r="K123" t="n">
        <v>20</v>
      </c>
      <c r="L123" t="n">
        <v>6</v>
      </c>
      <c r="M12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3" t="inlineStr"/>
      <c r="P123" t="inlineStr"/>
    </row>
    <row r="124">
      <c r="A124" t="inlineStr">
        <is>
          <t>DI1/2</t>
        </is>
      </c>
      <c r="B124" t="inlineStr"/>
      <c r="C124" t="inlineStr"/>
      <c r="D124" t="inlineStr"/>
      <c r="E124" t="inlineStr"/>
      <c r="I124" t="inlineStr">
        <is>
          <t>BOOL</t>
        </is>
      </c>
      <c r="J124" t="inlineStr">
        <is>
          <t>&gt;</t>
        </is>
      </c>
      <c r="K124" t="n">
        <v>20</v>
      </c>
      <c r="L124" t="n">
        <v>7</v>
      </c>
      <c r="M12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4" t="inlineStr"/>
      <c r="P124" t="inlineStr"/>
    </row>
    <row r="125">
      <c r="A125" t="inlineStr">
        <is>
          <t>DI1/2</t>
        </is>
      </c>
      <c r="B125" t="inlineStr"/>
      <c r="C125" t="inlineStr"/>
      <c r="D125" t="inlineStr"/>
      <c r="E125" t="inlineStr"/>
      <c r="I125" t="inlineStr">
        <is>
          <t>BOOL</t>
        </is>
      </c>
      <c r="J125" t="inlineStr">
        <is>
          <t>&gt;</t>
        </is>
      </c>
      <c r="K125" t="n">
        <v>21</v>
      </c>
      <c r="L125" t="n">
        <v>0</v>
      </c>
      <c r="M12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5" t="inlineStr"/>
      <c r="P125" t="inlineStr"/>
    </row>
    <row r="126">
      <c r="A126" t="inlineStr">
        <is>
          <t>DI1/2</t>
        </is>
      </c>
      <c r="B126" t="inlineStr"/>
      <c r="C126" t="inlineStr"/>
      <c r="D126" t="inlineStr"/>
      <c r="E126" t="inlineStr"/>
      <c r="I126" t="inlineStr">
        <is>
          <t>BOOL</t>
        </is>
      </c>
      <c r="J126" t="inlineStr">
        <is>
          <t>&gt;</t>
        </is>
      </c>
      <c r="K126" t="n">
        <v>21</v>
      </c>
      <c r="L126" t="n">
        <v>1</v>
      </c>
      <c r="M12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6" t="inlineStr"/>
      <c r="P126" t="inlineStr"/>
    </row>
    <row r="127">
      <c r="A127" t="inlineStr">
        <is>
          <t>DI1/2</t>
        </is>
      </c>
      <c r="B127" t="inlineStr"/>
      <c r="C127" t="inlineStr"/>
      <c r="D127" t="inlineStr"/>
      <c r="E127" t="inlineStr"/>
      <c r="I127" t="inlineStr">
        <is>
          <t>BOOL</t>
        </is>
      </c>
      <c r="J127" t="inlineStr">
        <is>
          <t>&gt;</t>
        </is>
      </c>
      <c r="K127" t="n">
        <v>21</v>
      </c>
      <c r="L127" t="n">
        <v>2</v>
      </c>
      <c r="M12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7" t="inlineStr"/>
      <c r="P127" t="inlineStr"/>
    </row>
    <row r="128">
      <c r="A128" t="inlineStr">
        <is>
          <t>DI1/2</t>
        </is>
      </c>
      <c r="B128" t="inlineStr"/>
      <c r="C128" t="inlineStr"/>
      <c r="D128" t="inlineStr"/>
      <c r="E128" t="inlineStr"/>
      <c r="I128" t="inlineStr">
        <is>
          <t>BOOL</t>
        </is>
      </c>
      <c r="J128" t="inlineStr">
        <is>
          <t>&gt;</t>
        </is>
      </c>
      <c r="K128" t="n">
        <v>21</v>
      </c>
      <c r="L128" t="n">
        <v>3</v>
      </c>
      <c r="M12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8" t="inlineStr"/>
      <c r="P128" t="inlineStr"/>
    </row>
    <row r="129">
      <c r="A129" t="inlineStr">
        <is>
          <t>DI1/2</t>
        </is>
      </c>
      <c r="B129" t="inlineStr"/>
      <c r="C129" t="inlineStr"/>
      <c r="D129" t="inlineStr"/>
      <c r="E129" t="inlineStr"/>
      <c r="I129" t="inlineStr">
        <is>
          <t>BOOL</t>
        </is>
      </c>
      <c r="J129" t="inlineStr">
        <is>
          <t>&gt;</t>
        </is>
      </c>
      <c r="K129" t="n">
        <v>21</v>
      </c>
      <c r="L129" t="n">
        <v>4</v>
      </c>
      <c r="M12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9" t="inlineStr"/>
      <c r="P129" t="inlineStr"/>
    </row>
    <row r="130">
      <c r="A130" t="inlineStr">
        <is>
          <t>DI1/2</t>
        </is>
      </c>
      <c r="B130" t="inlineStr"/>
      <c r="C130" t="inlineStr"/>
      <c r="D130" t="inlineStr"/>
      <c r="E130" t="inlineStr"/>
      <c r="I130" t="inlineStr">
        <is>
          <t>BOOL</t>
        </is>
      </c>
      <c r="J130" t="inlineStr">
        <is>
          <t>&gt;</t>
        </is>
      </c>
      <c r="K130" t="n">
        <v>21</v>
      </c>
      <c r="L130" t="n">
        <v>5</v>
      </c>
      <c r="M13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0" t="inlineStr"/>
      <c r="P130" t="inlineStr"/>
    </row>
    <row r="131">
      <c r="A131" t="inlineStr">
        <is>
          <t>DI1/2</t>
        </is>
      </c>
      <c r="B131" t="inlineStr"/>
      <c r="C131" t="inlineStr"/>
      <c r="D131" t="inlineStr"/>
      <c r="E131" t="inlineStr"/>
      <c r="I131" t="inlineStr">
        <is>
          <t>BOOL</t>
        </is>
      </c>
      <c r="J131" t="inlineStr">
        <is>
          <t>&gt;</t>
        </is>
      </c>
      <c r="K131" t="n">
        <v>21</v>
      </c>
      <c r="L131" t="n">
        <v>6</v>
      </c>
      <c r="M13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1" t="inlineStr"/>
      <c r="P131" t="inlineStr"/>
    </row>
    <row r="132">
      <c r="A132" t="inlineStr">
        <is>
          <t>DI1/2</t>
        </is>
      </c>
      <c r="B132" t="inlineStr"/>
      <c r="C132" t="inlineStr"/>
      <c r="D132" t="inlineStr"/>
      <c r="E132" t="inlineStr"/>
      <c r="I132" t="inlineStr">
        <is>
          <t>BOOL</t>
        </is>
      </c>
      <c r="J132" t="inlineStr">
        <is>
          <t>&gt;</t>
        </is>
      </c>
      <c r="K132" t="n">
        <v>21</v>
      </c>
      <c r="L132" t="n">
        <v>7</v>
      </c>
      <c r="M13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2" t="inlineStr"/>
      <c r="P132" t="inlineStr"/>
    </row>
    <row r="134">
      <c r="A134" t="inlineStr">
        <is>
          <t>Safety Encoder Failure</t>
        </is>
      </c>
      <c r="B134" t="inlineStr">
        <is>
          <t>Safety Encoder 0001 Healthy [ =S1+PC1.CC1-X81001 ]</t>
        </is>
      </c>
      <c r="C134" t="inlineStr">
        <is>
          <t>=S1</t>
        </is>
      </c>
      <c r="D134" t="inlineStr">
        <is>
          <t>+PC1.CC1</t>
        </is>
      </c>
      <c r="E134" t="inlineStr">
        <is>
          <t>-X81001</t>
        </is>
      </c>
      <c r="F134" t="inlineStr">
        <is>
          <t>011</t>
        </is>
      </c>
      <c r="H134" t="inlineStr">
        <is>
          <t>00</t>
        </is>
      </c>
      <c r="I134" t="inlineStr">
        <is>
          <t>BOOL</t>
        </is>
      </c>
      <c r="J134" t="inlineStr">
        <is>
          <t>&gt;</t>
        </is>
      </c>
      <c r="K134" t="n">
        <v>22</v>
      </c>
      <c r="L134" t="n">
        <v>0</v>
      </c>
      <c r="M13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4" t="inlineStr">
        <is>
          <t>PNC_Q_Safety Encoder 0001 Healthy [ =S1+PC1.CC1-X81001 ]</t>
        </is>
      </c>
      <c r="P134" t="inlineStr">
        <is>
          <t>"04_SPEED"."Safety Encoder 0001 Healthy [ =S1+PC1.CC1-X81001 ]"</t>
        </is>
      </c>
    </row>
    <row r="135">
      <c r="A135" t="inlineStr">
        <is>
          <t>Safety Encoder Failure</t>
        </is>
      </c>
      <c r="B135" t="inlineStr"/>
      <c r="C135" t="inlineStr"/>
      <c r="D135" t="inlineStr"/>
      <c r="E135" t="inlineStr"/>
      <c r="I135" t="inlineStr">
        <is>
          <t>BOOL</t>
        </is>
      </c>
      <c r="J135" t="inlineStr">
        <is>
          <t>&gt;</t>
        </is>
      </c>
      <c r="K135" t="n">
        <v>22</v>
      </c>
      <c r="L135" t="n">
        <v>1</v>
      </c>
      <c r="M1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5" t="inlineStr"/>
      <c r="P135" t="inlineStr"/>
    </row>
    <row r="136">
      <c r="A136" t="inlineStr">
        <is>
          <t>Safety Encoder Failure</t>
        </is>
      </c>
      <c r="B136" t="inlineStr"/>
      <c r="C136" t="inlineStr"/>
      <c r="D136" t="inlineStr"/>
      <c r="E136" t="inlineStr"/>
      <c r="I136" t="inlineStr">
        <is>
          <t>BOOL</t>
        </is>
      </c>
      <c r="J136" t="inlineStr">
        <is>
          <t>&gt;</t>
        </is>
      </c>
      <c r="K136" t="n">
        <v>22</v>
      </c>
      <c r="L136" t="n">
        <v>2</v>
      </c>
      <c r="M13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6" t="inlineStr"/>
      <c r="P136" t="inlineStr"/>
    </row>
    <row r="137">
      <c r="A137" t="inlineStr">
        <is>
          <t>Safety Encoder Failure</t>
        </is>
      </c>
      <c r="B137" t="inlineStr"/>
      <c r="C137" t="inlineStr"/>
      <c r="D137" t="inlineStr"/>
      <c r="E137" t="inlineStr"/>
      <c r="I137" t="inlineStr">
        <is>
          <t>BOOL</t>
        </is>
      </c>
      <c r="J137" t="inlineStr">
        <is>
          <t>&gt;</t>
        </is>
      </c>
      <c r="K137" t="n">
        <v>22</v>
      </c>
      <c r="L137" t="n">
        <v>3</v>
      </c>
      <c r="M1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7" t="inlineStr"/>
      <c r="P137" t="inlineStr"/>
    </row>
    <row r="138">
      <c r="A138" t="inlineStr">
        <is>
          <t>Safety Encoder Failure</t>
        </is>
      </c>
      <c r="B138" t="inlineStr"/>
      <c r="C138" t="inlineStr"/>
      <c r="D138" t="inlineStr"/>
      <c r="E138" t="inlineStr"/>
      <c r="I138" t="inlineStr">
        <is>
          <t>BOOL</t>
        </is>
      </c>
      <c r="J138" t="inlineStr">
        <is>
          <t>&gt;</t>
        </is>
      </c>
      <c r="K138" t="n">
        <v>22</v>
      </c>
      <c r="L138" t="n">
        <v>4</v>
      </c>
      <c r="M1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8" t="inlineStr"/>
      <c r="P138" t="inlineStr"/>
    </row>
    <row r="139">
      <c r="A139" t="inlineStr">
        <is>
          <t>Safety Encoder Failure</t>
        </is>
      </c>
      <c r="B139" t="inlineStr"/>
      <c r="C139" t="inlineStr"/>
      <c r="D139" t="inlineStr"/>
      <c r="E139" t="inlineStr"/>
      <c r="I139" t="inlineStr">
        <is>
          <t>BOOL</t>
        </is>
      </c>
      <c r="J139" t="inlineStr">
        <is>
          <t>&gt;</t>
        </is>
      </c>
      <c r="K139" t="n">
        <v>22</v>
      </c>
      <c r="L139" t="n">
        <v>5</v>
      </c>
      <c r="M1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9" t="inlineStr"/>
      <c r="P139" t="inlineStr"/>
    </row>
    <row r="140">
      <c r="A140" t="inlineStr">
        <is>
          <t>Safety Encoder Failure</t>
        </is>
      </c>
      <c r="B140" t="inlineStr"/>
      <c r="C140" t="inlineStr"/>
      <c r="D140" t="inlineStr"/>
      <c r="E140" t="inlineStr"/>
      <c r="I140" t="inlineStr">
        <is>
          <t>BOOL</t>
        </is>
      </c>
      <c r="J140" t="inlineStr">
        <is>
          <t>&gt;</t>
        </is>
      </c>
      <c r="K140" t="n">
        <v>22</v>
      </c>
      <c r="L140" t="n">
        <v>6</v>
      </c>
      <c r="M1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0" t="inlineStr"/>
      <c r="P140" t="inlineStr"/>
    </row>
    <row r="141">
      <c r="A141" t="inlineStr">
        <is>
          <t>Safety Encoder Failure</t>
        </is>
      </c>
      <c r="B141" t="inlineStr"/>
      <c r="C141" t="inlineStr"/>
      <c r="D141" t="inlineStr"/>
      <c r="E141" t="inlineStr"/>
      <c r="I141" t="inlineStr">
        <is>
          <t>BOOL</t>
        </is>
      </c>
      <c r="J141" t="inlineStr">
        <is>
          <t>&gt;</t>
        </is>
      </c>
      <c r="K141" t="n">
        <v>22</v>
      </c>
      <c r="L141" t="n">
        <v>7</v>
      </c>
      <c r="M1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1" t="inlineStr"/>
      <c r="P141" t="inlineStr"/>
    </row>
    <row r="142">
      <c r="A142" t="inlineStr">
        <is>
          <t>Safety Encoder Failure</t>
        </is>
      </c>
      <c r="B142" t="inlineStr"/>
      <c r="C142" t="inlineStr"/>
      <c r="D142" t="inlineStr"/>
      <c r="E142" t="inlineStr"/>
      <c r="I142" t="inlineStr">
        <is>
          <t>BOOL</t>
        </is>
      </c>
      <c r="J142" t="inlineStr">
        <is>
          <t>&gt;</t>
        </is>
      </c>
      <c r="K142" t="n">
        <v>23</v>
      </c>
      <c r="L142" t="n">
        <v>0</v>
      </c>
      <c r="M1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2" t="inlineStr"/>
      <c r="P142" t="inlineStr"/>
    </row>
    <row r="143">
      <c r="A143" t="inlineStr">
        <is>
          <t>Safety Encoder Failure</t>
        </is>
      </c>
      <c r="B143" t="inlineStr"/>
      <c r="C143" t="inlineStr"/>
      <c r="D143" t="inlineStr"/>
      <c r="E143" t="inlineStr"/>
      <c r="I143" t="inlineStr">
        <is>
          <t>BOOL</t>
        </is>
      </c>
      <c r="J143" t="inlineStr">
        <is>
          <t>&gt;</t>
        </is>
      </c>
      <c r="K143" t="n">
        <v>23</v>
      </c>
      <c r="L143" t="n">
        <v>1</v>
      </c>
      <c r="M1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3" t="inlineStr"/>
      <c r="P143" t="inlineStr"/>
    </row>
    <row r="144">
      <c r="A144" t="inlineStr">
        <is>
          <t>Safety Encoder Failure</t>
        </is>
      </c>
      <c r="B144" t="inlineStr"/>
      <c r="C144" t="inlineStr"/>
      <c r="D144" t="inlineStr"/>
      <c r="E144" t="inlineStr"/>
      <c r="I144" t="inlineStr">
        <is>
          <t>BOOL</t>
        </is>
      </c>
      <c r="J144" t="inlineStr">
        <is>
          <t>&gt;</t>
        </is>
      </c>
      <c r="K144" t="n">
        <v>23</v>
      </c>
      <c r="L144" t="n">
        <v>2</v>
      </c>
      <c r="M1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4" t="inlineStr"/>
      <c r="P144" t="inlineStr"/>
    </row>
    <row r="145">
      <c r="A145" t="inlineStr">
        <is>
          <t>Safety Encoder Failure</t>
        </is>
      </c>
      <c r="B145" t="inlineStr"/>
      <c r="C145" t="inlineStr"/>
      <c r="D145" t="inlineStr"/>
      <c r="E145" t="inlineStr"/>
      <c r="I145" t="inlineStr">
        <is>
          <t>BOOL</t>
        </is>
      </c>
      <c r="J145" t="inlineStr">
        <is>
          <t>&gt;</t>
        </is>
      </c>
      <c r="K145" t="n">
        <v>23</v>
      </c>
      <c r="L145" t="n">
        <v>3</v>
      </c>
      <c r="M1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5" t="inlineStr"/>
      <c r="P145" t="inlineStr"/>
    </row>
    <row r="146">
      <c r="A146" t="inlineStr">
        <is>
          <t>Safety Encoder Failure</t>
        </is>
      </c>
      <c r="B146" t="inlineStr"/>
      <c r="C146" t="inlineStr"/>
      <c r="D146" t="inlineStr"/>
      <c r="E146" t="inlineStr"/>
      <c r="I146" t="inlineStr">
        <is>
          <t>BOOL</t>
        </is>
      </c>
      <c r="J146" t="inlineStr">
        <is>
          <t>&gt;</t>
        </is>
      </c>
      <c r="K146" t="n">
        <v>23</v>
      </c>
      <c r="L146" t="n">
        <v>4</v>
      </c>
      <c r="M1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6" t="inlineStr"/>
      <c r="P146" t="inlineStr"/>
    </row>
    <row r="147">
      <c r="A147" t="inlineStr">
        <is>
          <t>Safety Encoder Failure</t>
        </is>
      </c>
      <c r="B147" t="inlineStr"/>
      <c r="C147" t="inlineStr"/>
      <c r="D147" t="inlineStr"/>
      <c r="E147" t="inlineStr"/>
      <c r="I147" t="inlineStr">
        <is>
          <t>BOOL</t>
        </is>
      </c>
      <c r="J147" t="inlineStr">
        <is>
          <t>&gt;</t>
        </is>
      </c>
      <c r="K147" t="n">
        <v>23</v>
      </c>
      <c r="L147" t="n">
        <v>5</v>
      </c>
      <c r="M1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7" t="inlineStr"/>
      <c r="P147" t="inlineStr"/>
    </row>
    <row r="148">
      <c r="A148" t="inlineStr">
        <is>
          <t>Safety Encoder Failure</t>
        </is>
      </c>
      <c r="B148" t="inlineStr"/>
      <c r="C148" t="inlineStr"/>
      <c r="D148" t="inlineStr"/>
      <c r="E148" t="inlineStr"/>
      <c r="I148" t="inlineStr">
        <is>
          <t>BOOL</t>
        </is>
      </c>
      <c r="J148" t="inlineStr">
        <is>
          <t>&gt;</t>
        </is>
      </c>
      <c r="K148" t="n">
        <v>23</v>
      </c>
      <c r="L148" t="n">
        <v>6</v>
      </c>
      <c r="M14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8" t="inlineStr"/>
      <c r="P148" t="inlineStr"/>
    </row>
    <row r="149">
      <c r="A149" t="inlineStr">
        <is>
          <t>Safety Encoder Failure</t>
        </is>
      </c>
      <c r="B149" t="inlineStr"/>
      <c r="C149" t="inlineStr"/>
      <c r="D149" t="inlineStr"/>
      <c r="E149" t="inlineStr"/>
      <c r="I149" t="inlineStr">
        <is>
          <t>BOOL</t>
        </is>
      </c>
      <c r="J149" t="inlineStr">
        <is>
          <t>&gt;</t>
        </is>
      </c>
      <c r="K149" t="n">
        <v>23</v>
      </c>
      <c r="L149" t="n">
        <v>7</v>
      </c>
      <c r="M14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9" t="inlineStr"/>
      <c r="P149" t="inlineStr"/>
    </row>
    <row r="151">
      <c r="A151" t="inlineStr">
        <is>
          <t>Safety Door Alarm - Not Properly Closed</t>
        </is>
      </c>
      <c r="B151" t="inlineStr">
        <is>
          <t>Door Alarm [ =S1+SG1-B1 ]</t>
        </is>
      </c>
      <c r="C151" t="inlineStr">
        <is>
          <t>=S1</t>
        </is>
      </c>
      <c r="D151" t="inlineStr">
        <is>
          <t>+SG1</t>
        </is>
      </c>
      <c r="E151" t="inlineStr">
        <is>
          <t>-B1</t>
        </is>
      </c>
      <c r="F151" t="inlineStr">
        <is>
          <t>010</t>
        </is>
      </c>
      <c r="H151" t="inlineStr">
        <is>
          <t>01</t>
        </is>
      </c>
      <c r="I151" t="inlineStr">
        <is>
          <t>BOOL</t>
        </is>
      </c>
      <c r="J151" t="inlineStr">
        <is>
          <t>&gt;</t>
        </is>
      </c>
      <c r="K151" t="n">
        <v>24</v>
      </c>
      <c r="L151" t="n">
        <v>0</v>
      </c>
      <c r="M15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1" t="inlineStr">
        <is>
          <t>PNC_Q_Door Alarm [ =S1+SG1-B1 ]</t>
        </is>
      </c>
      <c r="P151" t="inlineStr">
        <is>
          <t>"07_DOOR"."Door Alarm [ =S1+SG1-B1 ]"</t>
        </is>
      </c>
    </row>
    <row r="152">
      <c r="A152" t="inlineStr">
        <is>
          <t>Safety Door Alarm - Not Properly Closed</t>
        </is>
      </c>
      <c r="B152" t="inlineStr">
        <is>
          <t>Door Alarm [ =S1+SG2-B1 ]</t>
        </is>
      </c>
      <c r="C152" t="inlineStr">
        <is>
          <t>=S1</t>
        </is>
      </c>
      <c r="D152" t="inlineStr">
        <is>
          <t>+SG2</t>
        </is>
      </c>
      <c r="E152" t="inlineStr">
        <is>
          <t>-B1</t>
        </is>
      </c>
      <c r="F152" t="inlineStr">
        <is>
          <t>010</t>
        </is>
      </c>
      <c r="H152" t="inlineStr">
        <is>
          <t>03</t>
        </is>
      </c>
      <c r="I152" t="inlineStr">
        <is>
          <t>BOOL</t>
        </is>
      </c>
      <c r="J152" t="inlineStr">
        <is>
          <t>&gt;</t>
        </is>
      </c>
      <c r="K152" t="n">
        <v>24</v>
      </c>
      <c r="L152" t="n">
        <v>1</v>
      </c>
      <c r="M1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2" t="inlineStr">
        <is>
          <t>PNC_Q_Door Alarm [ =S1+SG2-B1 ]</t>
        </is>
      </c>
      <c r="P152" t="inlineStr">
        <is>
          <t>"07_DOOR"."Door Alarm [ =S1+SG2-B1 ]"</t>
        </is>
      </c>
    </row>
    <row r="153">
      <c r="A153" t="inlineStr">
        <is>
          <t>Safety Door Alarm - Not Properly Closed</t>
        </is>
      </c>
      <c r="B153" t="inlineStr">
        <is>
          <t>Door Alarm [ =S2+SG3-B1 ]</t>
        </is>
      </c>
      <c r="C153" t="inlineStr">
        <is>
          <t>=S2</t>
        </is>
      </c>
      <c r="D153" t="inlineStr">
        <is>
          <t>+SG3</t>
        </is>
      </c>
      <c r="E153" t="inlineStr">
        <is>
          <t>-B1</t>
        </is>
      </c>
      <c r="F153" t="inlineStr">
        <is>
          <t>010</t>
        </is>
      </c>
      <c r="H153" t="inlineStr">
        <is>
          <t>05</t>
        </is>
      </c>
      <c r="I153" t="inlineStr">
        <is>
          <t>BOOL</t>
        </is>
      </c>
      <c r="J153" t="inlineStr">
        <is>
          <t>&gt;</t>
        </is>
      </c>
      <c r="K153" t="n">
        <v>24</v>
      </c>
      <c r="L153" t="n">
        <v>2</v>
      </c>
      <c r="M15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3" t="inlineStr">
        <is>
          <t>PNC_Q_Door Alarm [ =S2+SG3-B1 ]</t>
        </is>
      </c>
      <c r="P153" t="inlineStr">
        <is>
          <t>"07_DOOR"."Door Alarm [ =S2+SG3-B1 ]"</t>
        </is>
      </c>
    </row>
    <row r="154">
      <c r="A154" t="inlineStr">
        <is>
          <t>Safety Door Alarm - Not Properly Closed</t>
        </is>
      </c>
      <c r="B154" t="inlineStr">
        <is>
          <t>Door Alarm [ =S2+SG4-B1 ]</t>
        </is>
      </c>
      <c r="C154" t="inlineStr">
        <is>
          <t>=S2</t>
        </is>
      </c>
      <c r="D154" t="inlineStr">
        <is>
          <t>+SG4</t>
        </is>
      </c>
      <c r="E154" t="inlineStr">
        <is>
          <t>-B1</t>
        </is>
      </c>
      <c r="F154" t="inlineStr">
        <is>
          <t>010</t>
        </is>
      </c>
      <c r="H154" t="inlineStr">
        <is>
          <t>07</t>
        </is>
      </c>
      <c r="I154" t="inlineStr">
        <is>
          <t>BOOL</t>
        </is>
      </c>
      <c r="J154" t="inlineStr">
        <is>
          <t>&gt;</t>
        </is>
      </c>
      <c r="K154" t="n">
        <v>24</v>
      </c>
      <c r="L154" t="n">
        <v>3</v>
      </c>
      <c r="M1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4" t="inlineStr">
        <is>
          <t>PNC_Q_Door Alarm [ =S2+SG4-B1 ]</t>
        </is>
      </c>
      <c r="P154" t="inlineStr">
        <is>
          <t>"07_DOOR"."Door Alarm [ =S2+SG4-B1 ]"</t>
        </is>
      </c>
    </row>
    <row r="155">
      <c r="A155" t="inlineStr">
        <is>
          <t>Safety Door Alarm - Not Properly Closed</t>
        </is>
      </c>
      <c r="B155" t="inlineStr"/>
      <c r="C155" t="inlineStr"/>
      <c r="D155" t="inlineStr"/>
      <c r="E155" t="inlineStr"/>
      <c r="I155" t="inlineStr">
        <is>
          <t>BOOL</t>
        </is>
      </c>
      <c r="J155" t="inlineStr">
        <is>
          <t>&gt;</t>
        </is>
      </c>
      <c r="K155" t="n">
        <v>24</v>
      </c>
      <c r="L155" t="n">
        <v>4</v>
      </c>
      <c r="M1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5" t="inlineStr"/>
      <c r="P155" t="inlineStr"/>
    </row>
    <row r="156">
      <c r="A156" t="inlineStr">
        <is>
          <t>Safety Door Alarm - Not Properly Closed</t>
        </is>
      </c>
      <c r="B156" t="inlineStr"/>
      <c r="C156" t="inlineStr"/>
      <c r="D156" t="inlineStr"/>
      <c r="E156" t="inlineStr"/>
      <c r="I156" t="inlineStr">
        <is>
          <t>BOOL</t>
        </is>
      </c>
      <c r="J156" t="inlineStr">
        <is>
          <t>&gt;</t>
        </is>
      </c>
      <c r="K156" t="n">
        <v>24</v>
      </c>
      <c r="L156" t="n">
        <v>5</v>
      </c>
      <c r="M1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6" t="inlineStr"/>
      <c r="P156" t="inlineStr"/>
    </row>
    <row r="157">
      <c r="A157" t="inlineStr">
        <is>
          <t>Safety Door Alarm - Not Properly Closed</t>
        </is>
      </c>
      <c r="B157" t="inlineStr"/>
      <c r="C157" t="inlineStr"/>
      <c r="D157" t="inlineStr"/>
      <c r="E157" t="inlineStr"/>
      <c r="I157" t="inlineStr">
        <is>
          <t>BOOL</t>
        </is>
      </c>
      <c r="J157" t="inlineStr">
        <is>
          <t>&gt;</t>
        </is>
      </c>
      <c r="K157" t="n">
        <v>24</v>
      </c>
      <c r="L157" t="n">
        <v>6</v>
      </c>
      <c r="M1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7" t="inlineStr"/>
      <c r="P157" t="inlineStr"/>
    </row>
    <row r="158">
      <c r="A158" t="inlineStr">
        <is>
          <t>Safety Door Alarm - Not Properly Closed</t>
        </is>
      </c>
      <c r="B158" t="inlineStr"/>
      <c r="C158" t="inlineStr"/>
      <c r="D158" t="inlineStr"/>
      <c r="E158" t="inlineStr"/>
      <c r="I158" t="inlineStr">
        <is>
          <t>BOOL</t>
        </is>
      </c>
      <c r="J158" t="inlineStr">
        <is>
          <t>&gt;</t>
        </is>
      </c>
      <c r="K158" t="n">
        <v>24</v>
      </c>
      <c r="L158" t="n">
        <v>7</v>
      </c>
      <c r="M1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8" t="inlineStr"/>
      <c r="P158" t="inlineStr"/>
    </row>
    <row r="159">
      <c r="A159" t="inlineStr">
        <is>
          <t>Safety Door Alarm - Not Properly Closed</t>
        </is>
      </c>
      <c r="B159" t="inlineStr"/>
      <c r="C159" t="inlineStr"/>
      <c r="D159" t="inlineStr"/>
      <c r="E159" t="inlineStr"/>
      <c r="I159" t="inlineStr">
        <is>
          <t>BOOL</t>
        </is>
      </c>
      <c r="J159" t="inlineStr">
        <is>
          <t>&gt;</t>
        </is>
      </c>
      <c r="K159" t="n">
        <v>25</v>
      </c>
      <c r="L159" t="n">
        <v>0</v>
      </c>
      <c r="M1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9" t="inlineStr"/>
      <c r="P159" t="inlineStr"/>
    </row>
    <row r="160">
      <c r="A160" t="inlineStr">
        <is>
          <t>Safety Door Alarm - Not Properly Closed</t>
        </is>
      </c>
      <c r="B160" t="inlineStr"/>
      <c r="C160" t="inlineStr"/>
      <c r="D160" t="inlineStr"/>
      <c r="E160" t="inlineStr"/>
      <c r="I160" t="inlineStr">
        <is>
          <t>BOOL</t>
        </is>
      </c>
      <c r="J160" t="inlineStr">
        <is>
          <t>&gt;</t>
        </is>
      </c>
      <c r="K160" t="n">
        <v>25</v>
      </c>
      <c r="L160" t="n">
        <v>1</v>
      </c>
      <c r="M1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0" t="inlineStr"/>
      <c r="P160" t="inlineStr"/>
    </row>
    <row r="161">
      <c r="A161" t="inlineStr">
        <is>
          <t>Safety Door Alarm - Not Properly Closed</t>
        </is>
      </c>
      <c r="B161" t="inlineStr"/>
      <c r="C161" t="inlineStr"/>
      <c r="D161" t="inlineStr"/>
      <c r="E161" t="inlineStr"/>
      <c r="I161" t="inlineStr">
        <is>
          <t>BOOL</t>
        </is>
      </c>
      <c r="J161" t="inlineStr">
        <is>
          <t>&gt;</t>
        </is>
      </c>
      <c r="K161" t="n">
        <v>25</v>
      </c>
      <c r="L161" t="n">
        <v>2</v>
      </c>
      <c r="M1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1" t="inlineStr"/>
      <c r="P161" t="inlineStr"/>
    </row>
    <row r="162">
      <c r="A162" t="inlineStr">
        <is>
          <t>Safety Door Alarm - Not Properly Closed</t>
        </is>
      </c>
      <c r="B162" t="inlineStr"/>
      <c r="C162" t="inlineStr"/>
      <c r="D162" t="inlineStr"/>
      <c r="E162" t="inlineStr"/>
      <c r="I162" t="inlineStr">
        <is>
          <t>BOOL</t>
        </is>
      </c>
      <c r="J162" t="inlineStr">
        <is>
          <t>&gt;</t>
        </is>
      </c>
      <c r="K162" t="n">
        <v>25</v>
      </c>
      <c r="L162" t="n">
        <v>3</v>
      </c>
      <c r="M1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2" t="inlineStr"/>
      <c r="P162" t="inlineStr"/>
    </row>
    <row r="163">
      <c r="A163" t="inlineStr">
        <is>
          <t>Safety Door Alarm - Not Properly Closed</t>
        </is>
      </c>
      <c r="B163" t="inlineStr"/>
      <c r="C163" t="inlineStr"/>
      <c r="D163" t="inlineStr"/>
      <c r="E163" t="inlineStr"/>
      <c r="I163" t="inlineStr">
        <is>
          <t>BOOL</t>
        </is>
      </c>
      <c r="J163" t="inlineStr">
        <is>
          <t>&gt;</t>
        </is>
      </c>
      <c r="K163" t="n">
        <v>25</v>
      </c>
      <c r="L163" t="n">
        <v>4</v>
      </c>
      <c r="M1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3" t="inlineStr"/>
      <c r="P163" t="inlineStr"/>
    </row>
    <row r="164">
      <c r="A164" t="inlineStr">
        <is>
          <t>Safety Door Alarm - Not Properly Closed</t>
        </is>
      </c>
      <c r="B164" t="inlineStr"/>
      <c r="C164" t="inlineStr"/>
      <c r="D164" t="inlineStr"/>
      <c r="E164" t="inlineStr"/>
      <c r="I164" t="inlineStr">
        <is>
          <t>BOOL</t>
        </is>
      </c>
      <c r="J164" t="inlineStr">
        <is>
          <t>&gt;</t>
        </is>
      </c>
      <c r="K164" t="n">
        <v>25</v>
      </c>
      <c r="L164" t="n">
        <v>5</v>
      </c>
      <c r="M1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4" t="inlineStr"/>
      <c r="P164" t="inlineStr"/>
    </row>
    <row r="165">
      <c r="A165" t="inlineStr">
        <is>
          <t>Safety Door Alarm - Not Properly Closed</t>
        </is>
      </c>
      <c r="B165" t="inlineStr"/>
      <c r="C165" t="inlineStr"/>
      <c r="D165" t="inlineStr"/>
      <c r="E165" t="inlineStr"/>
      <c r="I165" t="inlineStr">
        <is>
          <t>BOOL</t>
        </is>
      </c>
      <c r="J165" t="inlineStr">
        <is>
          <t>&gt;</t>
        </is>
      </c>
      <c r="K165" t="n">
        <v>25</v>
      </c>
      <c r="L165" t="n">
        <v>6</v>
      </c>
      <c r="M16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5" t="inlineStr"/>
      <c r="P165" t="inlineStr"/>
    </row>
    <row r="166">
      <c r="A166" t="inlineStr">
        <is>
          <t>Safety Door Alarm - Not Properly Closed</t>
        </is>
      </c>
      <c r="B166" t="inlineStr"/>
      <c r="C166" t="inlineStr"/>
      <c r="D166" t="inlineStr"/>
      <c r="E166" t="inlineStr"/>
      <c r="I166" t="inlineStr">
        <is>
          <t>BOOL</t>
        </is>
      </c>
      <c r="J166" t="inlineStr">
        <is>
          <t>&gt;</t>
        </is>
      </c>
      <c r="K166" t="n">
        <v>25</v>
      </c>
      <c r="L166" t="n">
        <v>7</v>
      </c>
      <c r="M16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6" t="inlineStr"/>
      <c r="P166" t="inlineStr"/>
    </row>
    <row r="168">
      <c r="A168" t="inlineStr">
        <is>
          <t>IF_DOOR_CMD</t>
        </is>
      </c>
      <c r="B168" t="inlineStr">
        <is>
          <t>Open Door Request [ =S1+SG1-B1 ]</t>
        </is>
      </c>
      <c r="C168" t="inlineStr">
        <is>
          <t>=S1</t>
        </is>
      </c>
      <c r="D168" t="inlineStr">
        <is>
          <t>+SG1</t>
        </is>
      </c>
      <c r="E168" t="inlineStr">
        <is>
          <t>-B1</t>
        </is>
      </c>
      <c r="F168" t="inlineStr">
        <is>
          <t>010</t>
        </is>
      </c>
      <c r="H168" t="inlineStr">
        <is>
          <t>01</t>
        </is>
      </c>
      <c r="I168" t="inlineStr">
        <is>
          <t>BOOL</t>
        </is>
      </c>
      <c r="J168" t="inlineStr">
        <is>
          <t>&lt;</t>
        </is>
      </c>
      <c r="K168" t="n">
        <v>10</v>
      </c>
      <c r="L168" t="n">
        <v>0</v>
      </c>
      <c r="M16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8" t="inlineStr">
        <is>
          <t>PNC_I_Open Door Request [ =S1+SG1-B1 ]</t>
        </is>
      </c>
      <c r="P168" t="inlineStr">
        <is>
          <t>Open Door Request [ =S1+SG1-B1 ]</t>
        </is>
      </c>
    </row>
    <row r="169">
      <c r="A169" t="inlineStr">
        <is>
          <t>IF_DOOR_CMD</t>
        </is>
      </c>
      <c r="B169" t="inlineStr">
        <is>
          <t>Open Door Request [ =S1+SG2-B1 ]</t>
        </is>
      </c>
      <c r="C169" t="inlineStr">
        <is>
          <t>=S1</t>
        </is>
      </c>
      <c r="D169" t="inlineStr">
        <is>
          <t>+SG2</t>
        </is>
      </c>
      <c r="E169" t="inlineStr">
        <is>
          <t>-B1</t>
        </is>
      </c>
      <c r="F169" t="inlineStr">
        <is>
          <t>010</t>
        </is>
      </c>
      <c r="H169" t="inlineStr">
        <is>
          <t>03</t>
        </is>
      </c>
      <c r="I169" t="inlineStr">
        <is>
          <t>BOOL</t>
        </is>
      </c>
      <c r="J169" t="inlineStr">
        <is>
          <t>&lt;</t>
        </is>
      </c>
      <c r="K169" t="n">
        <v>10</v>
      </c>
      <c r="L169" t="n">
        <v>1</v>
      </c>
      <c r="M1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9" t="inlineStr">
        <is>
          <t>PNC_I_Open Door Request [ =S1+SG2-B1 ]</t>
        </is>
      </c>
      <c r="P169" t="inlineStr">
        <is>
          <t>Open Door Request [ =S1+SG2-B1 ]</t>
        </is>
      </c>
    </row>
    <row r="170">
      <c r="A170" t="inlineStr">
        <is>
          <t>IF_DOOR_CMD</t>
        </is>
      </c>
      <c r="B170" t="inlineStr">
        <is>
          <t>Open Door Request [ =S2+SG3-B1 ]</t>
        </is>
      </c>
      <c r="C170" t="inlineStr">
        <is>
          <t>=S2</t>
        </is>
      </c>
      <c r="D170" t="inlineStr">
        <is>
          <t>+SG3</t>
        </is>
      </c>
      <c r="E170" t="inlineStr">
        <is>
          <t>-B1</t>
        </is>
      </c>
      <c r="F170" t="inlineStr">
        <is>
          <t>010</t>
        </is>
      </c>
      <c r="H170" t="inlineStr">
        <is>
          <t>05</t>
        </is>
      </c>
      <c r="I170" t="inlineStr">
        <is>
          <t>BOOL</t>
        </is>
      </c>
      <c r="J170" t="inlineStr">
        <is>
          <t>&lt;</t>
        </is>
      </c>
      <c r="K170" t="n">
        <v>10</v>
      </c>
      <c r="L170" t="n">
        <v>2</v>
      </c>
      <c r="M17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0" t="inlineStr">
        <is>
          <t>PNC_I_Open Door Request [ =S2+SG3-B1 ]</t>
        </is>
      </c>
      <c r="P170" t="inlineStr">
        <is>
          <t>Open Door Request [ =S2+SG3-B1 ]</t>
        </is>
      </c>
    </row>
    <row r="171">
      <c r="A171" t="inlineStr">
        <is>
          <t>IF_DOOR_CMD</t>
        </is>
      </c>
      <c r="B171" t="inlineStr">
        <is>
          <t>Open Door Request [ =S2+SG4-B1 ]</t>
        </is>
      </c>
      <c r="C171" t="inlineStr">
        <is>
          <t>=S2</t>
        </is>
      </c>
      <c r="D171" t="inlineStr">
        <is>
          <t>+SG4</t>
        </is>
      </c>
      <c r="E171" t="inlineStr">
        <is>
          <t>-B1</t>
        </is>
      </c>
      <c r="F171" t="inlineStr">
        <is>
          <t>010</t>
        </is>
      </c>
      <c r="H171" t="inlineStr">
        <is>
          <t>07</t>
        </is>
      </c>
      <c r="I171" t="inlineStr">
        <is>
          <t>BOOL</t>
        </is>
      </c>
      <c r="J171" t="inlineStr">
        <is>
          <t>&lt;</t>
        </is>
      </c>
      <c r="K171" t="n">
        <v>10</v>
      </c>
      <c r="L171" t="n">
        <v>3</v>
      </c>
      <c r="M17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1" t="inlineStr">
        <is>
          <t>PNC_I_Open Door Request [ =S2+SG4-B1 ]</t>
        </is>
      </c>
      <c r="P171" t="inlineStr">
        <is>
          <t>Open Door Request [ =S2+SG4-B1 ]</t>
        </is>
      </c>
    </row>
    <row r="172">
      <c r="A172" t="inlineStr">
        <is>
          <t>IF_DOOR_CMD</t>
        </is>
      </c>
      <c r="B172" t="inlineStr"/>
      <c r="C172" t="inlineStr"/>
      <c r="D172" t="inlineStr"/>
      <c r="E172" t="inlineStr"/>
      <c r="I172" t="inlineStr">
        <is>
          <t>BOOL</t>
        </is>
      </c>
      <c r="J172" t="inlineStr">
        <is>
          <t>&lt;</t>
        </is>
      </c>
      <c r="K172" t="n">
        <v>10</v>
      </c>
      <c r="L172" t="n">
        <v>4</v>
      </c>
      <c r="M17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2" t="inlineStr"/>
      <c r="P172" t="inlineStr"/>
    </row>
    <row r="173">
      <c r="A173" t="inlineStr">
        <is>
          <t>IF_DOOR_CMD</t>
        </is>
      </c>
      <c r="B173" t="inlineStr"/>
      <c r="C173" t="inlineStr"/>
      <c r="D173" t="inlineStr"/>
      <c r="E173" t="inlineStr"/>
      <c r="I173" t="inlineStr">
        <is>
          <t>BOOL</t>
        </is>
      </c>
      <c r="J173" t="inlineStr">
        <is>
          <t>&lt;</t>
        </is>
      </c>
      <c r="K173" t="n">
        <v>10</v>
      </c>
      <c r="L173" t="n">
        <v>5</v>
      </c>
      <c r="M17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3" t="inlineStr"/>
      <c r="P173" t="inlineStr"/>
    </row>
    <row r="174">
      <c r="A174" t="inlineStr">
        <is>
          <t>IF_DOOR_CMD</t>
        </is>
      </c>
      <c r="B174" t="inlineStr"/>
      <c r="C174" t="inlineStr"/>
      <c r="D174" t="inlineStr"/>
      <c r="E174" t="inlineStr"/>
      <c r="I174" t="inlineStr">
        <is>
          <t>BOOL</t>
        </is>
      </c>
      <c r="J174" t="inlineStr">
        <is>
          <t>&lt;</t>
        </is>
      </c>
      <c r="K174" t="n">
        <v>10</v>
      </c>
      <c r="L174" t="n">
        <v>6</v>
      </c>
      <c r="M17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4" t="inlineStr"/>
      <c r="P174" t="inlineStr"/>
    </row>
    <row r="175">
      <c r="A175" t="inlineStr">
        <is>
          <t>IF_DOOR_CMD</t>
        </is>
      </c>
      <c r="B175" t="inlineStr"/>
      <c r="C175" t="inlineStr"/>
      <c r="D175" t="inlineStr"/>
      <c r="E175" t="inlineStr"/>
      <c r="I175" t="inlineStr">
        <is>
          <t>BOOL</t>
        </is>
      </c>
      <c r="J175" t="inlineStr">
        <is>
          <t>&lt;</t>
        </is>
      </c>
      <c r="K175" t="n">
        <v>10</v>
      </c>
      <c r="L175" t="n">
        <v>7</v>
      </c>
      <c r="M17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5" t="inlineStr"/>
      <c r="P175" t="inlineStr"/>
    </row>
    <row r="176">
      <c r="A176" t="inlineStr">
        <is>
          <t>IF_DOOR_CMD</t>
        </is>
      </c>
      <c r="B176" t="inlineStr"/>
      <c r="C176" t="inlineStr"/>
      <c r="D176" t="inlineStr"/>
      <c r="E176" t="inlineStr"/>
      <c r="I176" t="inlineStr">
        <is>
          <t>BOOL</t>
        </is>
      </c>
      <c r="J176" t="inlineStr">
        <is>
          <t>&lt;</t>
        </is>
      </c>
      <c r="K176" t="n">
        <v>11</v>
      </c>
      <c r="L176" t="n">
        <v>0</v>
      </c>
      <c r="M17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6" t="inlineStr"/>
      <c r="P176" t="inlineStr"/>
    </row>
    <row r="177">
      <c r="A177" t="inlineStr">
        <is>
          <t>IF_DOOR_CMD</t>
        </is>
      </c>
      <c r="B177" t="inlineStr"/>
      <c r="C177" t="inlineStr"/>
      <c r="D177" t="inlineStr"/>
      <c r="E177" t="inlineStr"/>
      <c r="I177" t="inlineStr">
        <is>
          <t>BOOL</t>
        </is>
      </c>
      <c r="J177" t="inlineStr">
        <is>
          <t>&lt;</t>
        </is>
      </c>
      <c r="K177" t="n">
        <v>11</v>
      </c>
      <c r="L177" t="n">
        <v>1</v>
      </c>
      <c r="M17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7" t="inlineStr"/>
      <c r="P177" t="inlineStr"/>
    </row>
    <row r="178">
      <c r="A178" t="inlineStr">
        <is>
          <t>IF_DOOR_CMD</t>
        </is>
      </c>
      <c r="B178" t="inlineStr"/>
      <c r="C178" t="inlineStr"/>
      <c r="D178" t="inlineStr"/>
      <c r="E178" t="inlineStr"/>
      <c r="I178" t="inlineStr">
        <is>
          <t>BOOL</t>
        </is>
      </c>
      <c r="J178" t="inlineStr">
        <is>
          <t>&lt;</t>
        </is>
      </c>
      <c r="K178" t="n">
        <v>11</v>
      </c>
      <c r="L178" t="n">
        <v>2</v>
      </c>
      <c r="M17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8" t="inlineStr"/>
      <c r="P178" t="inlineStr"/>
    </row>
    <row r="179">
      <c r="A179" t="inlineStr">
        <is>
          <t>IF_DOOR_CMD</t>
        </is>
      </c>
      <c r="B179" t="inlineStr"/>
      <c r="C179" t="inlineStr"/>
      <c r="D179" t="inlineStr"/>
      <c r="E179" t="inlineStr"/>
      <c r="I179" t="inlineStr">
        <is>
          <t>BOOL</t>
        </is>
      </c>
      <c r="J179" t="inlineStr">
        <is>
          <t>&lt;</t>
        </is>
      </c>
      <c r="K179" t="n">
        <v>11</v>
      </c>
      <c r="L179" t="n">
        <v>3</v>
      </c>
      <c r="M17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9" t="inlineStr"/>
      <c r="P179" t="inlineStr"/>
    </row>
    <row r="180">
      <c r="A180" t="inlineStr">
        <is>
          <t>IF_DOOR_CMD</t>
        </is>
      </c>
      <c r="B180" t="inlineStr"/>
      <c r="C180" t="inlineStr"/>
      <c r="D180" t="inlineStr"/>
      <c r="E180" t="inlineStr"/>
      <c r="I180" t="inlineStr">
        <is>
          <t>BOOL</t>
        </is>
      </c>
      <c r="J180" t="inlineStr">
        <is>
          <t>&lt;</t>
        </is>
      </c>
      <c r="K180" t="n">
        <v>11</v>
      </c>
      <c r="L180" t="n">
        <v>4</v>
      </c>
      <c r="M18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0" t="inlineStr"/>
      <c r="P180" t="inlineStr"/>
    </row>
    <row r="181">
      <c r="A181" t="inlineStr">
        <is>
          <t>IF_DOOR_CMD</t>
        </is>
      </c>
      <c r="B181" t="inlineStr"/>
      <c r="C181" t="inlineStr"/>
      <c r="D181" t="inlineStr"/>
      <c r="E181" t="inlineStr"/>
      <c r="I181" t="inlineStr">
        <is>
          <t>BOOL</t>
        </is>
      </c>
      <c r="J181" t="inlineStr">
        <is>
          <t>&lt;</t>
        </is>
      </c>
      <c r="K181" t="n">
        <v>11</v>
      </c>
      <c r="L181" t="n">
        <v>5</v>
      </c>
      <c r="M18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1" t="inlineStr"/>
      <c r="P181" t="inlineStr"/>
    </row>
    <row r="182">
      <c r="A182" t="inlineStr">
        <is>
          <t>IF_DOOR_CMD</t>
        </is>
      </c>
      <c r="B182" t="inlineStr"/>
      <c r="C182" t="inlineStr"/>
      <c r="D182" t="inlineStr"/>
      <c r="E182" t="inlineStr"/>
      <c r="I182" t="inlineStr">
        <is>
          <t>BOOL</t>
        </is>
      </c>
      <c r="J182" t="inlineStr">
        <is>
          <t>&lt;</t>
        </is>
      </c>
      <c r="K182" t="n">
        <v>11</v>
      </c>
      <c r="L182" t="n">
        <v>6</v>
      </c>
      <c r="M18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2" t="inlineStr"/>
      <c r="P182" t="inlineStr"/>
    </row>
    <row r="183">
      <c r="A183" t="inlineStr">
        <is>
          <t>IF_DOOR_CMD</t>
        </is>
      </c>
      <c r="B183" t="inlineStr"/>
      <c r="C183" t="inlineStr"/>
      <c r="D183" t="inlineStr"/>
      <c r="E183" t="inlineStr"/>
      <c r="I183" t="inlineStr">
        <is>
          <t>BOOL</t>
        </is>
      </c>
      <c r="J183" t="inlineStr">
        <is>
          <t>&lt;</t>
        </is>
      </c>
      <c r="K183" t="n">
        <v>11</v>
      </c>
      <c r="L183" t="n">
        <v>7</v>
      </c>
      <c r="M18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3" t="inlineStr"/>
      <c r="P183" t="inlineStr"/>
    </row>
  </sheetData>
  <pageMargins left="0.7" right="0.7" top="0.75" bottom="0.75" header="0.3" footer="0.3"/>
  <headerFooter>
    <oddHeader>&amp;L&amp;"Aptos"&amp;1 &amp;K000000 Public#_x000d_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Dragoi, Bogdan</dc:creator>
  <dcterms:created xsi:type="dcterms:W3CDTF">2015-06-05T18:17:20Z</dcterms:created>
  <dcterms:modified xsi:type="dcterms:W3CDTF">2026-10-08T09:42:25Z</dcterms:modified>
  <cp:lastModifiedBy>DRAGOI Bogdan petre1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d855102-e3c4-49e9-9e1c-4559f787afe5_Enabled" fmtid="{D5CDD505-2E9C-101B-9397-08002B2CF9AE}" pid="2">
    <vt:lpwstr>true</vt:lpwstr>
  </property>
  <property name="MSIP_Label_bd855102-e3c4-49e9-9e1c-4559f787afe5_SetDate" fmtid="{D5CDD505-2E9C-101B-9397-08002B2CF9AE}" pid="3">
    <vt:lpwstr>2026-06-14T01:13:00Z</vt:lpwstr>
  </property>
  <property name="MSIP_Label_bd855102-e3c4-49e9-9e1c-4559f787afe5_Method" fmtid="{D5CDD505-2E9C-101B-9397-08002B2CF9AE}" pid="4">
    <vt:lpwstr>Privileged</vt:lpwstr>
  </property>
  <property name="MSIP_Label_bd855102-e3c4-49e9-9e1c-4559f787afe5_Name" fmtid="{D5CDD505-2E9C-101B-9397-08002B2CF9AE}" pid="5">
    <vt:lpwstr>FIL-IT-C1-Public</vt:lpwstr>
  </property>
  <property name="MSIP_Label_bd855102-e3c4-49e9-9e1c-4559f787afe5_SiteId" fmtid="{D5CDD505-2E9C-101B-9397-08002B2CF9AE}" pid="6">
    <vt:lpwstr>8eeda45f-61e4-4e2c-ac8b-6019b84f9775</vt:lpwstr>
  </property>
  <property name="MSIP_Label_bd855102-e3c4-49e9-9e1c-4559f787afe5_ActionId" fmtid="{D5CDD505-2E9C-101B-9397-08002B2CF9AE}" pid="7">
    <vt:lpwstr>04399b48-df61-470e-82d6-65e85d0892b7</vt:lpwstr>
  </property>
  <property name="MSIP_Label_bd855102-e3c4-49e9-9e1c-4559f787afe5_ContentBits" fmtid="{D5CDD505-2E9C-101B-9397-08002B2CF9AE}" pid="8">
    <vt:lpwstr>1</vt:lpwstr>
  </property>
  <property name="MSIP_Label_bd855102-e3c4-49e9-9e1c-4559f787afe5_Tag" fmtid="{D5CDD505-2E9C-101B-9397-08002B2CF9AE}" pid="9">
    <vt:lpwstr>10, 0, 1, 1</vt:lpwstr>
  </property>
</Properties>
</file>