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730" windowWidth="29040" windowHeight="15900" tabRatio="600" firstSheet="0" autoFilterDateGrouping="1"/>
  </bookViews>
  <sheets>
    <sheet name="SORTER+DIAG-0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onsolas"/>
      <family val="3"/>
      <color theme="1"/>
      <sz val="11"/>
    </font>
    <font>
      <name val="Arial Narrow"/>
      <family val="2"/>
      <color theme="1"/>
      <sz val="11"/>
    </font>
    <font>
      <name val="Arial Narrow"/>
      <family val="2"/>
      <color theme="1"/>
      <sz val="9"/>
    </font>
    <font>
      <name val="Arial Narrow"/>
      <family val="2"/>
      <color theme="1"/>
      <sz val="10"/>
    </font>
    <font>
      <name val="BankGothic Md BT"/>
      <family val="2"/>
      <color theme="1"/>
      <sz val="11"/>
    </font>
    <font>
      <name val="Arial Narrow"/>
      <family val="2"/>
      <b val="1"/>
      <color theme="0"/>
      <sz val="11"/>
    </font>
    <font>
      <name val="Arial Narrow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2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7" fillId="3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</cellXfs>
  <cellStyles count="1">
    <cellStyle name="Normal" xfId="0" builtinId="0"/>
  </cellStyles>
  <dxfs count="47">
    <dxf>
      <font>
        <name val="Consolas"/>
        <family val="3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rgb="FF000000"/>
        <sz val="11"/>
        <vertAlign val="baseline"/>
      </font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Consolas"/>
        <family val="3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alignment horizontal="center" vertical="bottom"/>
    </dxf>
    <dxf>
      <font>
        <name val="Arial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  <border outline="0">
        <left style="thin">
          <color theme="0"/>
        </left>
        <right style="thin">
          <color theme="0"/>
        </right>
        <top/>
        <bottom/>
      </border>
    </dxf>
    <dxf>
      <font>
        <name val="Consolas"/>
        <family val="3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bottom"/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Consolas"/>
        <family val="3"/>
        <strike val="0"/>
        <outline val="0"/>
        <shadow val="0"/>
        <color theme="1"/>
        <sz val="11"/>
        <vertAlign val="baseline"/>
      </font>
    </dxf>
    <dxf>
      <font>
        <name val="Arial Narrow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  <numFmt numFmtId="0" formatCode="General"/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BankGothic Md BT"/>
        <family val="2"/>
        <strike val="0"/>
        <outline val="0"/>
        <shadow val="0"/>
        <color theme="1"/>
        <sz val="11"/>
        <vertAlign val="baseline"/>
      </font>
    </dxf>
    <dxf>
      <font>
        <name val="Arial Narrow"/>
        <family val="2"/>
        <strike val="0"/>
        <outline val="0"/>
        <shadow val="0"/>
        <color theme="1"/>
        <vertAlign val="baseline"/>
      </font>
      <fill>
        <patternFill patternType="solid">
          <fgColor indexed="64"/>
          <bgColor rgb="FF7030A0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ORTER_SIGNALS" displayName="SORTER_SIGNALS" ref="A1:Q369" headerRowCount="1" totalsRowShown="0" headerRowDxfId="46">
  <autoFilter ref="A1:Q369"/>
  <tableColumns count="17">
    <tableColumn id="1" name="Category"/>
    <tableColumn id="2" name="Description"/>
    <tableColumn id="3" name="Functional Unit"/>
    <tableColumn id="4" name="Location"/>
    <tableColumn id="5" name="Device"/>
    <tableColumn id="17" name="diag_cabinet"/>
    <tableColumn id="16" name="swp_cabinet"/>
    <tableColumn id="15" name="diag_bit"/>
    <tableColumn id="6" name="Data Type"/>
    <tableColumn id="13" name="Direction &lt;/&gt;"/>
    <tableColumn id="11" name="I/O Offset Byte" dataDxfId="45"/>
    <tableColumn id="12" name="I/O Bit" dataDxfId="44"/>
    <tableColumn id="7" name="I/O Address Side 1" dataDxfId="43">
      <calculatedColumnFormula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calculatedColumnFormula>
    </tableColumn>
    <tableColumn id="8" name="I/O Address Side 2" dataDxfId="42">
      <calculatedColumnFormula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calculatedColumnFormula>
    </tableColumn>
    <tableColumn id="9" name="Signal Name Side 1"/>
    <tableColumn id="10" name="Expression Side 1"/>
    <tableColumn id="14" name="Signal Name Side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ER_PARAMS" displayName="SORTER_PARAMS" ref="AE1:AJ3" headerRowCount="1" headerRowDxfId="41" dataDxfId="40">
  <autoFilter ref="AE1:AJ3"/>
  <tableColumns count="6">
    <tableColumn id="1" name="Side" totalsRowLabel="Total" dataDxfId="39"/>
    <tableColumn id="6" name="Index" dataDxfId="38"/>
    <tableColumn id="2" name="Base Node" dataDxfId="37"/>
    <tableColumn id="3" name="Base Address" dataDxfId="36"/>
    <tableColumn id="4" name="Input Format" dataDxfId="35"/>
    <tableColumn id="5" name="Output Format" totalsRowFunction="count" dataDxfId="34">
      <calculatedColumnFormula>SUBSTITUTE(SORTER_PARAMS[[#This Row],[Input Format]], "I", "Q")</calculatedColumnFormula>
    </tableColumn>
  </tableColumns>
  <tableStyleInfo name="TableStyleMedium8" showFirstColumn="1" showLastColumn="0" showRowStripes="1" showColumnStripes="0"/>
</table>
</file>

<file path=xl/tables/table3.xml><?xml version="1.0" encoding="utf-8"?>
<table xmlns="http://schemas.openxmlformats.org/spreadsheetml/2006/main" id="3" name="SORTER_EXTRA_DATA" displayName="SORTER_EXTRA_DATA" ref="AE5:AJ6" headerRowCount="1" totalsRowShown="0" headerRowDxfId="33" dataDxfId="32">
  <autoFilter ref="AE5:AJ6"/>
  <tableColumns count="6">
    <tableColumn id="1" name="AREA" dataDxfId="31"/>
    <tableColumn id="2" name="DOORS" dataDxfId="30"/>
    <tableColumn id="3" name="BREAKERS" dataDxfId="29"/>
    <tableColumn id="4" name="ENCODER" dataDxfId="28"/>
    <tableColumn id="5" name="Column1" dataDxfId="27"/>
    <tableColumn id="6" name="Column2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9"/>
  <sheetViews>
    <sheetView topLeftCell="H1" zoomScale="146" workbookViewId="0">
      <selection activeCell="O2" sqref="O2"/>
    </sheetView>
  </sheetViews>
  <sheetFormatPr baseColWidth="8" defaultRowHeight="15"/>
  <cols>
    <col width="20.28515625" bestFit="1" customWidth="1" min="1" max="1"/>
    <col width="50" customWidth="1" min="2" max="2"/>
    <col width="9.28515625" customWidth="1" min="3" max="3"/>
    <col width="8.42578125" customWidth="1" min="4" max="4"/>
    <col width="6.7109375" customWidth="1" min="5" max="5"/>
    <col width="9.85546875" bestFit="1" customWidth="1" min="6" max="6"/>
    <col width="10.28515625" bestFit="1" customWidth="1" min="7" max="7"/>
    <col width="10.42578125" bestFit="1" customWidth="1" min="8" max="8"/>
    <col width="7.5703125" customWidth="1" min="9" max="10"/>
    <col width="8.7109375" customWidth="1" min="11" max="11"/>
    <col width="5.7109375" customWidth="1" min="12" max="12"/>
    <col width="18.140625" bestFit="1" customWidth="1" min="13" max="13"/>
    <col width="16.140625" customWidth="1" min="14" max="14"/>
    <col width="48.85546875" bestFit="1" customWidth="1" min="15" max="15"/>
    <col width="23.7109375" customWidth="1" min="16" max="16"/>
    <col width="23.28515625" customWidth="1" min="17" max="17"/>
    <col width="2.85546875" customWidth="1" min="18" max="30"/>
    <col width="8.5703125" customWidth="1" min="31" max="31"/>
    <col width="10.140625" customWidth="1" min="32" max="32"/>
    <col width="11.28515625" customWidth="1" min="33" max="33"/>
    <col width="10.28515625" customWidth="1" min="34" max="34"/>
    <col width="34" customWidth="1" min="35" max="35"/>
    <col width="35.7109375" customWidth="1" min="36" max="36"/>
  </cols>
  <sheetData>
    <row r="1" ht="32.25" customHeight="1">
      <c r="A1" s="2" t="inlineStr">
        <is>
          <t>Category</t>
        </is>
      </c>
      <c r="B1" s="2" t="inlineStr">
        <is>
          <t>Description</t>
        </is>
      </c>
      <c r="C1" s="3" t="inlineStr">
        <is>
          <t>Functional Unit</t>
        </is>
      </c>
      <c r="D1" s="3" t="inlineStr">
        <is>
          <t>Location</t>
        </is>
      </c>
      <c r="E1" s="3" t="inlineStr">
        <is>
          <t>Device</t>
        </is>
      </c>
      <c r="F1" s="12" t="inlineStr">
        <is>
          <t>diag_cabinet</t>
        </is>
      </c>
      <c r="G1" s="12" t="inlineStr">
        <is>
          <t>swp_cabinet</t>
        </is>
      </c>
      <c r="H1" s="12" t="inlineStr">
        <is>
          <t>diag_bit</t>
        </is>
      </c>
      <c r="I1" s="4" t="inlineStr">
        <is>
          <t>Data Type</t>
        </is>
      </c>
      <c r="J1" s="4" t="inlineStr">
        <is>
          <t>Direction &lt;/&gt;</t>
        </is>
      </c>
      <c r="K1" s="3" t="inlineStr">
        <is>
          <t>I/O Offset Byte</t>
        </is>
      </c>
      <c r="L1" s="3" t="inlineStr">
        <is>
          <t>I/O Bit</t>
        </is>
      </c>
      <c r="M1" s="3" t="inlineStr">
        <is>
          <t>I/O Address Side 1</t>
        </is>
      </c>
      <c r="N1" s="3" t="inlineStr">
        <is>
          <t>I/O Address Side 2</t>
        </is>
      </c>
      <c r="O1" s="2" t="inlineStr">
        <is>
          <t>Signal Name Side 1</t>
        </is>
      </c>
      <c r="P1" s="2" t="inlineStr">
        <is>
          <t>Expression Side 1</t>
        </is>
      </c>
      <c r="Q1" s="2" t="inlineStr">
        <is>
          <t>Signal Name Side 2</t>
        </is>
      </c>
      <c r="AE1" s="2" t="inlineStr">
        <is>
          <t>Side</t>
        </is>
      </c>
      <c r="AF1" s="2" t="inlineStr">
        <is>
          <t>Index</t>
        </is>
      </c>
      <c r="AG1" s="2" t="inlineStr">
        <is>
          <t>Base Node</t>
        </is>
      </c>
      <c r="AH1" s="2" t="inlineStr">
        <is>
          <t>Base Address</t>
        </is>
      </c>
      <c r="AI1" s="2" t="inlineStr">
        <is>
          <t>Input Format</t>
        </is>
      </c>
      <c r="AJ1" s="2" t="inlineStr">
        <is>
          <t>Output Format</t>
        </is>
      </c>
    </row>
    <row r="2">
      <c r="A2" t="inlineStr">
        <is>
          <t>WATCHDOG</t>
        </is>
      </c>
      <c r="B2" t="inlineStr">
        <is>
          <t>Blinking 1Hz</t>
        </is>
      </c>
      <c r="I2" t="inlineStr">
        <is>
          <t>BOOL</t>
        </is>
      </c>
      <c r="J2" s="1" t="inlineStr">
        <is>
          <t>&gt;</t>
        </is>
      </c>
      <c r="K2" s="6" t="n">
        <v>0</v>
      </c>
      <c r="L2" s="6" t="n">
        <v>0</v>
      </c>
      <c r="M2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" t="inlineStr">
        <is>
          <t>PNC_Q_SORTER-02 HEARTBEAT</t>
        </is>
      </c>
      <c r="P2" t="inlineStr">
        <is>
          <t>"Clock 1Hz"</t>
        </is>
      </c>
      <c r="AE2" s="5" t="n">
        <v>1</v>
      </c>
      <c r="AF2" s="9" t="inlineStr">
        <is>
          <t>02</t>
        </is>
      </c>
      <c r="AG2" s="5" t="n">
        <v>10</v>
      </c>
      <c r="AH2" s="5" t="n">
        <v>20000</v>
      </c>
      <c r="AI2" s="5" t="inlineStr">
        <is>
          <t>I&lt;base+offset&gt;/.&lt;bit&gt;</t>
        </is>
      </c>
      <c r="AJ2" s="5">
        <f>SUBSTITUTE(SORTER_PARAMS[[#This Row],[Input Format]], "I", "Q")</f>
        <v/>
      </c>
    </row>
    <row r="3">
      <c r="A3" t="inlineStr">
        <is>
          <t>SAFETY_STATE</t>
        </is>
      </c>
      <c r="B3" t="inlineStr">
        <is>
          <t>Safety Circuit Energized  by PLC (READY)</t>
        </is>
      </c>
      <c r="I3" t="inlineStr">
        <is>
          <t>BOOL</t>
        </is>
      </c>
      <c r="J3" s="1" t="inlineStr">
        <is>
          <t>&gt;</t>
        </is>
      </c>
      <c r="K3" s="6" t="n">
        <v>1</v>
      </c>
      <c r="L3" s="6" t="n">
        <v>0</v>
      </c>
      <c r="M3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" t="inlineStr">
        <is>
          <t>PNC_Q_SORTER-02 POWER ENABLED - NOT CUT</t>
        </is>
      </c>
      <c r="AE3" s="5" t="n">
        <v>2</v>
      </c>
      <c r="AF3" s="9" t="inlineStr">
        <is>
          <t>02</t>
        </is>
      </c>
      <c r="AG3" s="5" t="n">
        <v>10</v>
      </c>
      <c r="AH3" s="5" t="n">
        <v>0</v>
      </c>
      <c r="AI3" s="5">
        <f>"I." &amp;SORTER_PARAMS[[#This Row],[Base Node]] &amp;".&lt;base+offset&gt;/.&lt;bit&gt;"</f>
        <v/>
      </c>
      <c r="AJ3" s="5">
        <f>SUBSTITUTE(SORTER_PARAMS[[#This Row],[Input Format]], "I", "O")</f>
        <v/>
      </c>
    </row>
    <row r="4">
      <c r="A4" t="inlineStr">
        <is>
          <t>SAFETY_STATE</t>
        </is>
      </c>
      <c r="B4" t="inlineStr">
        <is>
          <t>Awaiting EMERGENCY RESET for the area</t>
        </is>
      </c>
      <c r="I4" t="inlineStr">
        <is>
          <t>BOOL</t>
        </is>
      </c>
      <c r="J4" s="1" t="inlineStr">
        <is>
          <t>&gt;</t>
        </is>
      </c>
      <c r="K4" s="8">
        <f>K3</f>
        <v/>
      </c>
      <c r="L4" s="8">
        <f>L3+1</f>
        <v/>
      </c>
      <c r="M4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" t="inlineStr">
        <is>
          <t>PNC_Q_SORTER-02 EMERGENCY READY TO RESET</t>
        </is>
      </c>
    </row>
    <row r="5" ht="17.25" customHeight="1" thickBot="1">
      <c r="A5" t="inlineStr">
        <is>
          <t>SAFETY_STATE</t>
        </is>
      </c>
      <c r="B5" t="inlineStr">
        <is>
          <t>EMERGENCY Circuit Energized by PLC (READY)</t>
        </is>
      </c>
      <c r="I5" t="inlineStr">
        <is>
          <t>BOOL</t>
        </is>
      </c>
      <c r="J5" s="1" t="inlineStr">
        <is>
          <t>&gt;</t>
        </is>
      </c>
      <c r="K5" s="8">
        <f>K4</f>
        <v/>
      </c>
      <c r="L5" s="8">
        <f>L4+1</f>
        <v/>
      </c>
      <c r="M5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" t="inlineStr">
        <is>
          <t>PNC_Q_SORTER-02 EMERGENCY OK</t>
        </is>
      </c>
      <c r="AE5" s="10" t="inlineStr">
        <is>
          <t>AREA</t>
        </is>
      </c>
      <c r="AF5" s="10" t="inlineStr">
        <is>
          <t>DOORS</t>
        </is>
      </c>
      <c r="AG5" s="10" t="inlineStr">
        <is>
          <t>BREAKERS</t>
        </is>
      </c>
      <c r="AH5" s="10" t="inlineStr">
        <is>
          <t>ENCODER</t>
        </is>
      </c>
      <c r="AI5" t="inlineStr">
        <is>
          <t>Column1</t>
        </is>
      </c>
      <c r="AJ5" t="inlineStr">
        <is>
          <t>Column2</t>
        </is>
      </c>
    </row>
    <row r="6" ht="15.75" customHeight="1" thickTop="1">
      <c r="A6" t="inlineStr">
        <is>
          <t>SAFETY_ENCODER</t>
        </is>
      </c>
      <c r="I6" t="inlineStr">
        <is>
          <t>BOOL</t>
        </is>
      </c>
      <c r="J6" s="1" t="inlineStr">
        <is>
          <t>&gt;</t>
        </is>
      </c>
      <c r="K6" s="8">
        <f>K5</f>
        <v/>
      </c>
      <c r="L6" s="8">
        <f>L5+1</f>
        <v/>
      </c>
      <c r="M6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" t="inlineStr">
        <is>
          <t>PNC_Q_SORTER-02 SAFETY ENCODER FAILURE</t>
        </is>
      </c>
      <c r="AE6" s="11" t="n"/>
      <c r="AF6" s="11" t="n"/>
      <c r="AG6" s="11" t="n"/>
      <c r="AH6" s="11" t="n"/>
      <c r="AI6" s="11" t="n"/>
      <c r="AJ6" s="1" t="n"/>
    </row>
    <row r="7">
      <c r="J7" s="1" t="n"/>
      <c r="K7" s="8" t="n"/>
      <c r="L7" s="8" t="n"/>
      <c r="M7" s="7" t="n"/>
      <c r="N7" s="7" t="n"/>
    </row>
    <row r="8">
      <c r="A8" t="inlineStr">
        <is>
          <t>SORTER_STATE</t>
        </is>
      </c>
      <c r="B8" t="inlineStr">
        <is>
          <t>Sorter Running Soft-Feedback</t>
        </is>
      </c>
      <c r="I8" t="inlineStr">
        <is>
          <t>BOOL</t>
        </is>
      </c>
      <c r="J8" s="1" t="inlineStr">
        <is>
          <t>&lt;</t>
        </is>
      </c>
      <c r="K8" s="8" t="n">
        <v>0</v>
      </c>
      <c r="L8" s="8" t="n">
        <v>0</v>
      </c>
      <c r="M8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" t="inlineStr">
        <is>
          <t>PNC_I_SORTER-02 SORTER- RUNNING</t>
        </is>
      </c>
    </row>
    <row r="9">
      <c r="A9" t="inlineStr">
        <is>
          <t>SORTER_COMMANDS</t>
        </is>
      </c>
      <c r="B9" t="inlineStr">
        <is>
          <t>Commissioning-Only EMERGENCY_RESET command</t>
        </is>
      </c>
      <c r="I9" t="inlineStr">
        <is>
          <t>BOOL</t>
        </is>
      </c>
      <c r="J9" s="1" t="inlineStr">
        <is>
          <t>&lt;</t>
        </is>
      </c>
      <c r="K9" s="8" t="n">
        <v>1</v>
      </c>
      <c r="L9" s="8" t="n">
        <v>0</v>
      </c>
      <c r="M9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" t="inlineStr">
        <is>
          <t>PNC_I_SORTER-02 EMERGENCY RESET</t>
        </is>
      </c>
    </row>
    <row r="10">
      <c r="J10" s="1" t="n"/>
      <c r="K10" s="8" t="n"/>
      <c r="L10" s="8" t="n"/>
      <c r="M10" s="7" t="n"/>
      <c r="N10" s="7" t="n"/>
    </row>
    <row r="11">
      <c r="J11" s="1" t="n"/>
      <c r="K11" s="8" t="n"/>
      <c r="L11" s="8" t="n"/>
      <c r="M11" s="7" t="n"/>
      <c r="N11" s="7" t="n"/>
    </row>
    <row r="12">
      <c r="J12" s="1" t="n"/>
      <c r="K12" s="8" t="n"/>
      <c r="L12" s="8" t="n"/>
      <c r="M12" s="7" t="n"/>
      <c r="N12" s="7" t="n"/>
    </row>
    <row r="13">
      <c r="J13" s="1" t="n"/>
      <c r="K13" s="8" t="n"/>
      <c r="L13" s="8" t="n"/>
      <c r="M13" s="7" t="n"/>
      <c r="N13" s="7" t="n"/>
    </row>
    <row r="14">
      <c r="J14" s="1" t="n"/>
      <c r="K14" s="8" t="n"/>
      <c r="L14" s="8" t="n"/>
      <c r="M14" s="7" t="n"/>
      <c r="N14" s="7" t="n"/>
    </row>
    <row r="15">
      <c r="J15" s="1" t="n"/>
      <c r="K15" s="8" t="n"/>
      <c r="L15" s="8" t="n"/>
      <c r="M15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</row>
    <row r="16">
      <c r="J16" s="1" t="n"/>
      <c r="K16" s="8" t="n"/>
      <c r="L16" s="8" t="n"/>
      <c r="M16" s="7" t="n"/>
      <c r="N16" s="7" t="n"/>
    </row>
    <row r="17">
      <c r="J17" s="1" t="n"/>
      <c r="K17" s="8" t="n"/>
      <c r="L17" s="8" t="n"/>
      <c r="M17" s="7" t="n"/>
      <c r="N17" s="7" t="n"/>
    </row>
    <row r="18">
      <c r="J18" s="1" t="n"/>
      <c r="K18" s="8" t="n"/>
      <c r="L18" s="8" t="n"/>
      <c r="M18" s="7" t="n"/>
      <c r="N18" s="7" t="n"/>
    </row>
    <row r="19">
      <c r="J19" s="1" t="n"/>
      <c r="K19" s="8" t="n"/>
      <c r="L19" s="8" t="n"/>
      <c r="M19" s="7" t="n"/>
      <c r="N19" s="7" t="n"/>
    </row>
    <row r="20">
      <c r="J20" s="1" t="n"/>
      <c r="K20" s="8" t="n"/>
      <c r="L20" s="8" t="n"/>
      <c r="M20" s="7" t="n"/>
      <c r="N20" s="7" t="n"/>
    </row>
    <row r="21">
      <c r="J21" s="1" t="n"/>
      <c r="K21" s="8" t="n"/>
      <c r="L21" s="8" t="n"/>
      <c r="M21" s="7" t="n"/>
      <c r="N21" s="7" t="n"/>
    </row>
    <row r="22">
      <c r="J22" s="1" t="n"/>
      <c r="K22" s="8" t="n"/>
      <c r="L22" s="8" t="n"/>
      <c r="M22" s="7" t="n"/>
      <c r="N22" s="7" t="n"/>
    </row>
    <row r="23">
      <c r="J23" s="1" t="n"/>
      <c r="K23" s="8" t="n"/>
      <c r="L23" s="8" t="n"/>
      <c r="M23" s="7" t="n"/>
      <c r="N23" s="7" t="n"/>
    </row>
    <row r="24">
      <c r="J24" s="1" t="n"/>
      <c r="K24" s="8" t="n"/>
      <c r="L24" s="8" t="n"/>
      <c r="M24" s="7" t="n"/>
      <c r="N24" s="7" t="n"/>
    </row>
    <row r="25">
      <c r="J25" s="1" t="n"/>
      <c r="K25" s="8" t="n"/>
      <c r="L25" s="8" t="n"/>
      <c r="M25" s="7" t="n"/>
      <c r="N25" s="7" t="n"/>
    </row>
    <row r="26">
      <c r="J26" s="1" t="n"/>
      <c r="K26" s="8" t="n"/>
      <c r="L26" s="8" t="n"/>
      <c r="M26" s="7" t="n"/>
      <c r="N26" s="7" t="n"/>
    </row>
    <row r="27">
      <c r="J27" s="1" t="n"/>
      <c r="K27" s="8" t="n"/>
      <c r="L27" s="8" t="n"/>
      <c r="M27" s="7" t="n"/>
      <c r="N27" s="7" t="n"/>
    </row>
    <row r="28">
      <c r="J28" s="1" t="n"/>
      <c r="K28" s="8" t="n"/>
      <c r="L28" s="8" t="n"/>
      <c r="M28" s="7" t="n"/>
      <c r="N28" s="7" t="n"/>
    </row>
    <row r="29">
      <c r="J29" s="1" t="n"/>
      <c r="K29" s="8" t="n"/>
      <c r="L29" s="8" t="n"/>
      <c r="M29" s="7" t="n"/>
      <c r="N29" s="7" t="n"/>
    </row>
    <row r="30">
      <c r="J30" s="1" t="n"/>
      <c r="K30" s="8" t="n"/>
      <c r="L30" s="8" t="n"/>
      <c r="M30" s="7" t="n"/>
      <c r="N30" s="7" t="n"/>
    </row>
    <row r="31">
      <c r="K31" s="7" t="n"/>
      <c r="L31" s="7" t="n"/>
      <c r="M31" s="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" s="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</row>
    <row r="32">
      <c r="A32" t="inlineStr">
        <is>
          <t>PW</t>
        </is>
      </c>
      <c r="B32" t="inlineStr"/>
      <c r="C32" t="inlineStr">
        <is>
          <t>=S1</t>
        </is>
      </c>
      <c r="D32" t="inlineStr">
        <is>
          <t>+MC1.CC1</t>
        </is>
      </c>
      <c r="E32" t="inlineStr">
        <is>
          <t>-K66001</t>
        </is>
      </c>
      <c r="F32" t="inlineStr">
        <is>
          <t>000</t>
        </is>
      </c>
      <c r="H32" t="inlineStr">
        <is>
          <t>62</t>
        </is>
      </c>
      <c r="I32" t="inlineStr">
        <is>
          <t>BOOL</t>
        </is>
      </c>
      <c r="J32" t="inlineStr">
        <is>
          <t>&gt;</t>
        </is>
      </c>
      <c r="K32" t="n">
        <v>10</v>
      </c>
      <c r="L32" t="n">
        <v>0</v>
      </c>
      <c r="M3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" t="inlineStr">
        <is>
          <t>PNC_Q_SORTER-02_PROFINET SWITCH  [ =S1+MC1.CC1-K66001 n0010-mc1-cc1-k66001 192.168.50.10 ]</t>
        </is>
      </c>
      <c r="P32" t="inlineStr">
        <is>
          <t>"PROFINET_NODES_WARNING"."n0010-mc1-cc1-k66001 192.168.50.10"</t>
        </is>
      </c>
    </row>
    <row r="33">
      <c r="A33" t="inlineStr">
        <is>
          <t>PW</t>
        </is>
      </c>
      <c r="B33" t="inlineStr"/>
      <c r="C33" t="inlineStr">
        <is>
          <t>=S2</t>
        </is>
      </c>
      <c r="D33" t="inlineStr">
        <is>
          <t>+MC2.CC1</t>
        </is>
      </c>
      <c r="E33" t="inlineStr">
        <is>
          <t>-K66001</t>
        </is>
      </c>
      <c r="F33" t="inlineStr">
        <is>
          <t>009</t>
        </is>
      </c>
      <c r="H33" t="inlineStr">
        <is>
          <t>61</t>
        </is>
      </c>
      <c r="I33" t="inlineStr">
        <is>
          <t>BOOL</t>
        </is>
      </c>
      <c r="J33" t="inlineStr">
        <is>
          <t>&gt;</t>
        </is>
      </c>
      <c r="K33" t="n">
        <v>10</v>
      </c>
      <c r="L33" t="n">
        <v>1</v>
      </c>
      <c r="M3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" t="inlineStr">
        <is>
          <t>PNC_Q_SORTER-02_PROFINET SWITCH  [ =S2+MC2.CC1-K66001 n0010-mc2-cc1-k66001 192.168.51.10 ]</t>
        </is>
      </c>
      <c r="P33" t="inlineStr">
        <is>
          <t>"PROFINET_NODES_WARNING"."n0010-mc2-cc1-k66001 192.168.51.10"</t>
        </is>
      </c>
    </row>
    <row r="34">
      <c r="A34" t="inlineStr">
        <is>
          <t>PW</t>
        </is>
      </c>
      <c r="B34" t="inlineStr"/>
      <c r="C34" t="inlineStr"/>
      <c r="D34" t="inlineStr"/>
      <c r="E34" t="inlineStr"/>
      <c r="I34" t="inlineStr">
        <is>
          <t>BOOL</t>
        </is>
      </c>
      <c r="J34" t="inlineStr">
        <is>
          <t>&gt;</t>
        </is>
      </c>
      <c r="K34" t="n">
        <v>10</v>
      </c>
      <c r="L34" t="n">
        <v>2</v>
      </c>
      <c r="M3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" t="inlineStr"/>
      <c r="P34" t="inlineStr"/>
    </row>
    <row r="35">
      <c r="A35" t="inlineStr">
        <is>
          <t>PW</t>
        </is>
      </c>
      <c r="B35" t="inlineStr"/>
      <c r="C35" t="inlineStr"/>
      <c r="D35" t="inlineStr"/>
      <c r="E35" t="inlineStr"/>
      <c r="I35" t="inlineStr">
        <is>
          <t>BOOL</t>
        </is>
      </c>
      <c r="J35" t="inlineStr">
        <is>
          <t>&gt;</t>
        </is>
      </c>
      <c r="K35" t="n">
        <v>10</v>
      </c>
      <c r="L35" t="n">
        <v>3</v>
      </c>
      <c r="M3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" t="inlineStr"/>
      <c r="P35" t="inlineStr"/>
    </row>
    <row r="36">
      <c r="A36" t="inlineStr">
        <is>
          <t>PW</t>
        </is>
      </c>
      <c r="B36" t="inlineStr"/>
      <c r="C36" t="inlineStr"/>
      <c r="D36" t="inlineStr"/>
      <c r="E36" t="inlineStr"/>
      <c r="I36" t="inlineStr">
        <is>
          <t>BOOL</t>
        </is>
      </c>
      <c r="J36" t="inlineStr">
        <is>
          <t>&gt;</t>
        </is>
      </c>
      <c r="K36" t="n">
        <v>10</v>
      </c>
      <c r="L36" t="n">
        <v>4</v>
      </c>
      <c r="M3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" t="inlineStr"/>
      <c r="P36" t="inlineStr"/>
    </row>
    <row r="37">
      <c r="A37" t="inlineStr">
        <is>
          <t>PW</t>
        </is>
      </c>
      <c r="B37" t="inlineStr"/>
      <c r="C37" t="inlineStr"/>
      <c r="D37" t="inlineStr"/>
      <c r="E37" t="inlineStr"/>
      <c r="I37" t="inlineStr">
        <is>
          <t>BOOL</t>
        </is>
      </c>
      <c r="J37" t="inlineStr">
        <is>
          <t>&gt;</t>
        </is>
      </c>
      <c r="K37" t="n">
        <v>10</v>
      </c>
      <c r="L37" t="n">
        <v>5</v>
      </c>
      <c r="M3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7" t="inlineStr"/>
      <c r="P37" t="inlineStr"/>
    </row>
    <row r="38">
      <c r="A38" t="inlineStr">
        <is>
          <t>PW</t>
        </is>
      </c>
      <c r="B38" t="inlineStr"/>
      <c r="C38" t="inlineStr"/>
      <c r="D38" t="inlineStr"/>
      <c r="E38" t="inlineStr"/>
      <c r="I38" t="inlineStr">
        <is>
          <t>BOOL</t>
        </is>
      </c>
      <c r="J38" t="inlineStr">
        <is>
          <t>&gt;</t>
        </is>
      </c>
      <c r="K38" t="n">
        <v>10</v>
      </c>
      <c r="L38" t="n">
        <v>6</v>
      </c>
      <c r="M3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8" t="inlineStr"/>
      <c r="P38" t="inlineStr"/>
    </row>
    <row r="39">
      <c r="A39" t="inlineStr">
        <is>
          <t>PW</t>
        </is>
      </c>
      <c r="B39" t="inlineStr"/>
      <c r="C39" t="inlineStr"/>
      <c r="D39" t="inlineStr"/>
      <c r="E39" t="inlineStr"/>
      <c r="I39" t="inlineStr">
        <is>
          <t>BOOL</t>
        </is>
      </c>
      <c r="J39" t="inlineStr">
        <is>
          <t>&gt;</t>
        </is>
      </c>
      <c r="K39" t="n">
        <v>10</v>
      </c>
      <c r="L39" t="n">
        <v>7</v>
      </c>
      <c r="M3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9" t="inlineStr"/>
      <c r="P39" t="inlineStr"/>
    </row>
    <row r="40">
      <c r="A40" t="inlineStr">
        <is>
          <t>PW</t>
        </is>
      </c>
      <c r="B40" t="inlineStr"/>
      <c r="C40" t="inlineStr"/>
      <c r="D40" t="inlineStr"/>
      <c r="E40" t="inlineStr"/>
      <c r="I40" t="inlineStr">
        <is>
          <t>BOOL</t>
        </is>
      </c>
      <c r="J40" t="inlineStr">
        <is>
          <t>&gt;</t>
        </is>
      </c>
      <c r="K40" t="n">
        <v>11</v>
      </c>
      <c r="L40" t="n">
        <v>0</v>
      </c>
      <c r="M4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0" t="inlineStr"/>
      <c r="P40" t="inlineStr"/>
    </row>
    <row r="41">
      <c r="A41" t="inlineStr">
        <is>
          <t>PW</t>
        </is>
      </c>
      <c r="B41" t="inlineStr"/>
      <c r="C41" t="inlineStr"/>
      <c r="D41" t="inlineStr"/>
      <c r="E41" t="inlineStr"/>
      <c r="I41" t="inlineStr">
        <is>
          <t>BOOL</t>
        </is>
      </c>
      <c r="J41" t="inlineStr">
        <is>
          <t>&gt;</t>
        </is>
      </c>
      <c r="K41" t="n">
        <v>11</v>
      </c>
      <c r="L41" t="n">
        <v>1</v>
      </c>
      <c r="M4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1" t="inlineStr"/>
      <c r="P41" t="inlineStr"/>
    </row>
    <row r="42">
      <c r="A42" t="inlineStr">
        <is>
          <t>PW</t>
        </is>
      </c>
      <c r="B42" t="inlineStr"/>
      <c r="C42" t="inlineStr"/>
      <c r="D42" t="inlineStr"/>
      <c r="E42" t="inlineStr"/>
      <c r="I42" t="inlineStr">
        <is>
          <t>BOOL</t>
        </is>
      </c>
      <c r="J42" t="inlineStr">
        <is>
          <t>&gt;</t>
        </is>
      </c>
      <c r="K42" t="n">
        <v>11</v>
      </c>
      <c r="L42" t="n">
        <v>2</v>
      </c>
      <c r="M4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2" t="inlineStr"/>
      <c r="P42" t="inlineStr"/>
    </row>
    <row r="43">
      <c r="A43" t="inlineStr">
        <is>
          <t>PW</t>
        </is>
      </c>
      <c r="B43" t="inlineStr"/>
      <c r="C43" t="inlineStr"/>
      <c r="D43" t="inlineStr"/>
      <c r="E43" t="inlineStr"/>
      <c r="I43" t="inlineStr">
        <is>
          <t>BOOL</t>
        </is>
      </c>
      <c r="J43" t="inlineStr">
        <is>
          <t>&gt;</t>
        </is>
      </c>
      <c r="K43" t="n">
        <v>11</v>
      </c>
      <c r="L43" t="n">
        <v>3</v>
      </c>
      <c r="M4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3" t="inlineStr"/>
      <c r="P43" t="inlineStr"/>
    </row>
    <row r="44">
      <c r="A44" t="inlineStr">
        <is>
          <t>PW</t>
        </is>
      </c>
      <c r="B44" t="inlineStr"/>
      <c r="C44" t="inlineStr"/>
      <c r="D44" t="inlineStr"/>
      <c r="E44" t="inlineStr"/>
      <c r="I44" t="inlineStr">
        <is>
          <t>BOOL</t>
        </is>
      </c>
      <c r="J44" t="inlineStr">
        <is>
          <t>&gt;</t>
        </is>
      </c>
      <c r="K44" t="n">
        <v>11</v>
      </c>
      <c r="L44" t="n">
        <v>4</v>
      </c>
      <c r="M4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4" t="inlineStr"/>
      <c r="P44" t="inlineStr"/>
    </row>
    <row r="45">
      <c r="A45" t="inlineStr">
        <is>
          <t>PW</t>
        </is>
      </c>
      <c r="B45" t="inlineStr"/>
      <c r="C45" t="inlineStr"/>
      <c r="D45" t="inlineStr"/>
      <c r="E45" t="inlineStr"/>
      <c r="I45" t="inlineStr">
        <is>
          <t>BOOL</t>
        </is>
      </c>
      <c r="J45" t="inlineStr">
        <is>
          <t>&gt;</t>
        </is>
      </c>
      <c r="K45" t="n">
        <v>11</v>
      </c>
      <c r="L45" t="n">
        <v>5</v>
      </c>
      <c r="M4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5" t="inlineStr"/>
      <c r="P45" t="inlineStr"/>
    </row>
    <row r="46">
      <c r="A46" t="inlineStr">
        <is>
          <t>PW</t>
        </is>
      </c>
      <c r="B46" t="inlineStr"/>
      <c r="C46" t="inlineStr"/>
      <c r="D46" t="inlineStr"/>
      <c r="E46" t="inlineStr"/>
      <c r="I46" t="inlineStr">
        <is>
          <t>BOOL</t>
        </is>
      </c>
      <c r="J46" t="inlineStr">
        <is>
          <t>&gt;</t>
        </is>
      </c>
      <c r="K46" t="n">
        <v>11</v>
      </c>
      <c r="L46" t="n">
        <v>6</v>
      </c>
      <c r="M4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6" t="inlineStr"/>
      <c r="P46" t="inlineStr"/>
    </row>
    <row r="47">
      <c r="A47" t="inlineStr">
        <is>
          <t>PW</t>
        </is>
      </c>
      <c r="B47" t="inlineStr"/>
      <c r="C47" t="inlineStr"/>
      <c r="D47" t="inlineStr"/>
      <c r="E47" t="inlineStr"/>
      <c r="I47" t="inlineStr">
        <is>
          <t>BOOL</t>
        </is>
      </c>
      <c r="J47" t="inlineStr">
        <is>
          <t>&gt;</t>
        </is>
      </c>
      <c r="K47" t="n">
        <v>11</v>
      </c>
      <c r="L47" t="n">
        <v>7</v>
      </c>
      <c r="M4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7" t="inlineStr"/>
      <c r="P47" t="inlineStr"/>
    </row>
    <row r="49">
      <c r="A49" t="inlineStr">
        <is>
          <t>PA</t>
        </is>
      </c>
      <c r="B49" t="inlineStr"/>
      <c r="C49" t="inlineStr">
        <is>
          <t>=S1</t>
        </is>
      </c>
      <c r="D49" t="inlineStr">
        <is>
          <t>+MC1.CC1</t>
        </is>
      </c>
      <c r="E49" t="inlineStr">
        <is>
          <t>-K66201</t>
        </is>
      </c>
      <c r="F49" t="inlineStr">
        <is>
          <t>000</t>
        </is>
      </c>
      <c r="H49" t="inlineStr">
        <is>
          <t>61</t>
        </is>
      </c>
      <c r="I49" t="inlineStr">
        <is>
          <t>BOOL</t>
        </is>
      </c>
      <c r="J49" t="inlineStr">
        <is>
          <t>&gt;</t>
        </is>
      </c>
      <c r="K49" t="n">
        <v>12</v>
      </c>
      <c r="L49" t="n">
        <v>0</v>
      </c>
      <c r="M4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4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49" t="inlineStr">
        <is>
          <t>PNC_Q_SORTER-02_FIELD BUS FAILURE - COUPLER  [ =S1+MC1.CC1-K66201 n0006-mc1-cc1-k66201 192.168.50.6 ]</t>
        </is>
      </c>
      <c r="P49" t="inlineStr">
        <is>
          <t>"PROFINET_NODES_ALARM"."n0006-mc1-cc1-k66201 192.168.50.6"</t>
        </is>
      </c>
    </row>
    <row r="50">
      <c r="A50" t="inlineStr">
        <is>
          <t>PA</t>
        </is>
      </c>
      <c r="B50" t="inlineStr"/>
      <c r="C50" t="inlineStr">
        <is>
          <t>=S1</t>
        </is>
      </c>
      <c r="D50" t="inlineStr">
        <is>
          <t>+MS1.CC1</t>
        </is>
      </c>
      <c r="E50" t="inlineStr">
        <is>
          <t>-K65001</t>
        </is>
      </c>
      <c r="F50" t="inlineStr">
        <is>
          <t>001</t>
        </is>
      </c>
      <c r="H50" t="inlineStr">
        <is>
          <t>62</t>
        </is>
      </c>
      <c r="I50" t="inlineStr">
        <is>
          <t>BOOL</t>
        </is>
      </c>
      <c r="J50" t="inlineStr">
        <is>
          <t>&gt;</t>
        </is>
      </c>
      <c r="K50" t="n">
        <v>12</v>
      </c>
      <c r="L50" t="n">
        <v>1</v>
      </c>
      <c r="M5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0" t="inlineStr">
        <is>
          <t>PNC_Q_SORTER-02_FIELD BUS FAILURE - INPUT / OUTPUT MODULE  [ =S1+MS1.CC1-K65001 n0005-ms1-cc1-k65001 192.168.50.5 ]</t>
        </is>
      </c>
      <c r="P50" t="inlineStr">
        <is>
          <t>"PROFINET_NODES_ALARM"."n0005-ms1-cc1-k65001 192.168.50.5"</t>
        </is>
      </c>
    </row>
    <row r="51">
      <c r="A51" t="inlineStr">
        <is>
          <t>PA</t>
        </is>
      </c>
      <c r="B51" t="inlineStr"/>
      <c r="C51" t="inlineStr">
        <is>
          <t>=S1</t>
        </is>
      </c>
      <c r="D51" t="inlineStr">
        <is>
          <t>+PC1.CC1</t>
        </is>
      </c>
      <c r="E51" t="inlineStr">
        <is>
          <t>-K65001</t>
        </is>
      </c>
      <c r="F51" t="inlineStr">
        <is>
          <t>004</t>
        </is>
      </c>
      <c r="H51" t="inlineStr">
        <is>
          <t>62</t>
        </is>
      </c>
      <c r="I51" t="inlineStr">
        <is>
          <t>BOOL</t>
        </is>
      </c>
      <c r="J51" t="inlineStr">
        <is>
          <t>&gt;</t>
        </is>
      </c>
      <c r="K51" t="n">
        <v>12</v>
      </c>
      <c r="L51" t="n">
        <v>2</v>
      </c>
      <c r="M5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1" t="inlineStr">
        <is>
          <t>PNC_Q_SORTER-02_FIELD BUS FAILURE - INPUT / OUTPUT MODULE  [ =S1+PC1.CC1-K65001 n0012-pc1-cc1-k65001 192.168.50.12 ]</t>
        </is>
      </c>
      <c r="P51" t="inlineStr">
        <is>
          <t>"PROFINET_NODES_ALARM"."n0012-pc1-cc1-k65001 192.168.50.12"</t>
        </is>
      </c>
    </row>
    <row r="52">
      <c r="A52" t="inlineStr">
        <is>
          <t>PA</t>
        </is>
      </c>
      <c r="B52" t="inlineStr"/>
      <c r="C52" t="inlineStr">
        <is>
          <t>=S1</t>
        </is>
      </c>
      <c r="D52" t="inlineStr">
        <is>
          <t>+SM72</t>
        </is>
      </c>
      <c r="E52" t="inlineStr">
        <is>
          <t>-XNS1</t>
        </is>
      </c>
      <c r="F52" t="inlineStr">
        <is>
          <t>009</t>
        </is>
      </c>
      <c r="H52" t="inlineStr">
        <is>
          <t>62</t>
        </is>
      </c>
      <c r="I52" t="inlineStr">
        <is>
          <t>BOOL</t>
        </is>
      </c>
      <c r="J52" t="inlineStr">
        <is>
          <t>&gt;</t>
        </is>
      </c>
      <c r="K52" t="n">
        <v>12</v>
      </c>
      <c r="L52" t="n">
        <v>3</v>
      </c>
      <c r="M5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2" t="inlineStr">
        <is>
          <t>PNC_Q_SORTER-02_FIELD BUS FAILURE - INPUT / OUTPUT MODULE  [ =S1+SM72-XNS1 n0031-sm72-xns1 192.168.50.31 ]</t>
        </is>
      </c>
      <c r="P52" t="inlineStr">
        <is>
          <t>"PROFINET_NODES_ALARM"."n0031-sm72-xns1 192.168.50.31"</t>
        </is>
      </c>
    </row>
    <row r="53">
      <c r="A53" t="inlineStr">
        <is>
          <t>PA</t>
        </is>
      </c>
      <c r="B53" t="inlineStr"/>
      <c r="C53" t="inlineStr">
        <is>
          <t>=S2</t>
        </is>
      </c>
      <c r="D53" t="inlineStr">
        <is>
          <t>+MS2.CC1</t>
        </is>
      </c>
      <c r="E53" t="inlineStr">
        <is>
          <t>-K65001</t>
        </is>
      </c>
      <c r="F53" t="inlineStr">
        <is>
          <t>005</t>
        </is>
      </c>
      <c r="H53" t="inlineStr">
        <is>
          <t>62</t>
        </is>
      </c>
      <c r="I53" t="inlineStr">
        <is>
          <t>BOOL</t>
        </is>
      </c>
      <c r="J53" t="inlineStr">
        <is>
          <t>&gt;</t>
        </is>
      </c>
      <c r="K53" t="n">
        <v>12</v>
      </c>
      <c r="L53" t="n">
        <v>4</v>
      </c>
      <c r="M5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3" t="inlineStr">
        <is>
          <t>PNC_Q_SORTER-02_FIELD BUS FAILURE - INPUT / OUTPUT MODULE  [ =S2+MS2.CC1-K65001 n0005-ms2-cc1-k65001 192.168.51.5 ]</t>
        </is>
      </c>
      <c r="P53" t="inlineStr">
        <is>
          <t>"PROFINET_NODES_ALARM"."n0005-ms2-cc1-k65001 192.168.51.5"</t>
        </is>
      </c>
    </row>
    <row r="54">
      <c r="A54" t="inlineStr">
        <is>
          <t>PA</t>
        </is>
      </c>
      <c r="B54" t="inlineStr"/>
      <c r="C54" t="inlineStr">
        <is>
          <t>=S2</t>
        </is>
      </c>
      <c r="D54" t="inlineStr">
        <is>
          <t>+PC2.CC1</t>
        </is>
      </c>
      <c r="E54" t="inlineStr">
        <is>
          <t>-K65001</t>
        </is>
      </c>
      <c r="F54" t="inlineStr">
        <is>
          <t>008</t>
        </is>
      </c>
      <c r="H54" t="inlineStr">
        <is>
          <t>62</t>
        </is>
      </c>
      <c r="I54" t="inlineStr">
        <is>
          <t>BOOL</t>
        </is>
      </c>
      <c r="J54" t="inlineStr">
        <is>
          <t>&gt;</t>
        </is>
      </c>
      <c r="K54" t="n">
        <v>12</v>
      </c>
      <c r="L54" t="n">
        <v>5</v>
      </c>
      <c r="M5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4" t="inlineStr">
        <is>
          <t>PNC_Q_SORTER-02_FIELD BUS FAILURE - INPUT / OUTPUT MODULE  [ =S2+PC2.CC1-K65001 n0012-pc2-cc1-k65001 192.168.51.12 ]</t>
        </is>
      </c>
      <c r="P54" t="inlineStr">
        <is>
          <t>"PROFINET_NODES_ALARM"."n0012-pc2-cc1-k65001 192.168.51.12"</t>
        </is>
      </c>
    </row>
    <row r="55">
      <c r="A55" t="inlineStr">
        <is>
          <t>PA</t>
        </is>
      </c>
      <c r="B55" t="inlineStr"/>
      <c r="C55" t="inlineStr">
        <is>
          <t>=S2</t>
        </is>
      </c>
      <c r="D55" t="inlineStr">
        <is>
          <t>+SM73</t>
        </is>
      </c>
      <c r="E55" t="inlineStr">
        <is>
          <t>-XNS1</t>
        </is>
      </c>
      <c r="F55" t="inlineStr">
        <is>
          <t>009</t>
        </is>
      </c>
      <c r="H55" t="inlineStr">
        <is>
          <t>60</t>
        </is>
      </c>
      <c r="I55" t="inlineStr">
        <is>
          <t>BOOL</t>
        </is>
      </c>
      <c r="J55" t="inlineStr">
        <is>
          <t>&gt;</t>
        </is>
      </c>
      <c r="K55" t="n">
        <v>12</v>
      </c>
      <c r="L55" t="n">
        <v>6</v>
      </c>
      <c r="M5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5" t="inlineStr">
        <is>
          <t>PNC_Q_SORTER-02_FIELD BUS FAILURE - INPUT / OUTPUT MODULE  [ =S2+SM73-XNS1 n0031-sm73-xns1 192.168.51.31 ]</t>
        </is>
      </c>
      <c r="P55" t="inlineStr">
        <is>
          <t>"PROFINET_NODES_ALARM"."n0031-sm73-xns1 192.168.51.31"</t>
        </is>
      </c>
    </row>
    <row r="56">
      <c r="A56" t="inlineStr">
        <is>
          <t>PA</t>
        </is>
      </c>
      <c r="B56" t="inlineStr"/>
      <c r="C56" t="inlineStr"/>
      <c r="D56" t="inlineStr"/>
      <c r="E56" t="inlineStr"/>
      <c r="I56" t="inlineStr">
        <is>
          <t>BOOL</t>
        </is>
      </c>
      <c r="J56" t="inlineStr">
        <is>
          <t>&gt;</t>
        </is>
      </c>
      <c r="K56" t="n">
        <v>12</v>
      </c>
      <c r="L56" t="n">
        <v>7</v>
      </c>
      <c r="M5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6" t="inlineStr"/>
      <c r="P56" t="inlineStr"/>
    </row>
    <row r="57">
      <c r="A57" t="inlineStr">
        <is>
          <t>PA</t>
        </is>
      </c>
      <c r="B57" t="inlineStr"/>
      <c r="C57" t="inlineStr"/>
      <c r="D57" t="inlineStr"/>
      <c r="E57" t="inlineStr"/>
      <c r="I57" t="inlineStr">
        <is>
          <t>BOOL</t>
        </is>
      </c>
      <c r="J57" t="inlineStr">
        <is>
          <t>&gt;</t>
        </is>
      </c>
      <c r="K57" t="n">
        <v>13</v>
      </c>
      <c r="L57" t="n">
        <v>0</v>
      </c>
      <c r="M5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7" t="inlineStr"/>
      <c r="P57" t="inlineStr"/>
    </row>
    <row r="58">
      <c r="A58" t="inlineStr">
        <is>
          <t>PA</t>
        </is>
      </c>
      <c r="B58" t="inlineStr"/>
      <c r="C58" t="inlineStr"/>
      <c r="D58" t="inlineStr"/>
      <c r="E58" t="inlineStr"/>
      <c r="I58" t="inlineStr">
        <is>
          <t>BOOL</t>
        </is>
      </c>
      <c r="J58" t="inlineStr">
        <is>
          <t>&gt;</t>
        </is>
      </c>
      <c r="K58" t="n">
        <v>13</v>
      </c>
      <c r="L58" t="n">
        <v>1</v>
      </c>
      <c r="M5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8" t="inlineStr"/>
      <c r="P58" t="inlineStr"/>
    </row>
    <row r="59">
      <c r="A59" t="inlineStr">
        <is>
          <t>PA</t>
        </is>
      </c>
      <c r="B59" t="inlineStr"/>
      <c r="C59" t="inlineStr"/>
      <c r="D59" t="inlineStr"/>
      <c r="E59" t="inlineStr"/>
      <c r="I59" t="inlineStr">
        <is>
          <t>BOOL</t>
        </is>
      </c>
      <c r="J59" t="inlineStr">
        <is>
          <t>&gt;</t>
        </is>
      </c>
      <c r="K59" t="n">
        <v>13</v>
      </c>
      <c r="L59" t="n">
        <v>2</v>
      </c>
      <c r="M5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5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59" t="inlineStr"/>
      <c r="P59" t="inlineStr"/>
    </row>
    <row r="60">
      <c r="A60" t="inlineStr">
        <is>
          <t>PA</t>
        </is>
      </c>
      <c r="B60" t="inlineStr"/>
      <c r="C60" t="inlineStr"/>
      <c r="D60" t="inlineStr"/>
      <c r="E60" t="inlineStr"/>
      <c r="I60" t="inlineStr">
        <is>
          <t>BOOL</t>
        </is>
      </c>
      <c r="J60" t="inlineStr">
        <is>
          <t>&gt;</t>
        </is>
      </c>
      <c r="K60" t="n">
        <v>13</v>
      </c>
      <c r="L60" t="n">
        <v>3</v>
      </c>
      <c r="M6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0" t="inlineStr"/>
      <c r="P60" t="inlineStr"/>
    </row>
    <row r="61">
      <c r="A61" t="inlineStr">
        <is>
          <t>PA</t>
        </is>
      </c>
      <c r="B61" t="inlineStr"/>
      <c r="C61" t="inlineStr"/>
      <c r="D61" t="inlineStr"/>
      <c r="E61" t="inlineStr"/>
      <c r="I61" t="inlineStr">
        <is>
          <t>BOOL</t>
        </is>
      </c>
      <c r="J61" t="inlineStr">
        <is>
          <t>&gt;</t>
        </is>
      </c>
      <c r="K61" t="n">
        <v>13</v>
      </c>
      <c r="L61" t="n">
        <v>4</v>
      </c>
      <c r="M6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1" t="inlineStr"/>
      <c r="P61" t="inlineStr"/>
    </row>
    <row r="62">
      <c r="A62" t="inlineStr">
        <is>
          <t>PA</t>
        </is>
      </c>
      <c r="B62" t="inlineStr"/>
      <c r="C62" t="inlineStr"/>
      <c r="D62" t="inlineStr"/>
      <c r="E62" t="inlineStr"/>
      <c r="I62" t="inlineStr">
        <is>
          <t>BOOL</t>
        </is>
      </c>
      <c r="J62" t="inlineStr">
        <is>
          <t>&gt;</t>
        </is>
      </c>
      <c r="K62" t="n">
        <v>13</v>
      </c>
      <c r="L62" t="n">
        <v>5</v>
      </c>
      <c r="M6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2" t="inlineStr"/>
      <c r="P62" t="inlineStr"/>
    </row>
    <row r="63">
      <c r="A63" t="inlineStr">
        <is>
          <t>PA</t>
        </is>
      </c>
      <c r="B63" t="inlineStr"/>
      <c r="C63" t="inlineStr"/>
      <c r="D63" t="inlineStr"/>
      <c r="E63" t="inlineStr"/>
      <c r="I63" t="inlineStr">
        <is>
          <t>BOOL</t>
        </is>
      </c>
      <c r="J63" t="inlineStr">
        <is>
          <t>&gt;</t>
        </is>
      </c>
      <c r="K63" t="n">
        <v>13</v>
      </c>
      <c r="L63" t="n">
        <v>6</v>
      </c>
      <c r="M6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3" t="inlineStr"/>
      <c r="P63" t="inlineStr"/>
    </row>
    <row r="64">
      <c r="A64" t="inlineStr">
        <is>
          <t>PA</t>
        </is>
      </c>
      <c r="B64" t="inlineStr"/>
      <c r="C64" t="inlineStr"/>
      <c r="D64" t="inlineStr"/>
      <c r="E64" t="inlineStr"/>
      <c r="I64" t="inlineStr">
        <is>
          <t>BOOL</t>
        </is>
      </c>
      <c r="J64" t="inlineStr">
        <is>
          <t>&gt;</t>
        </is>
      </c>
      <c r="K64" t="n">
        <v>13</v>
      </c>
      <c r="L64" t="n">
        <v>7</v>
      </c>
      <c r="M6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4" t="inlineStr"/>
      <c r="P64" t="inlineStr"/>
    </row>
    <row r="66">
      <c r="A66" t="inlineStr">
        <is>
          <t>A</t>
        </is>
      </c>
      <c r="B66" t="inlineStr">
        <is>
          <t>CIRCUIT BREAKER TRIPPED 400V INDUCTION LINE GROUP IN1.CC1 [ =S1+MS1.CC1-F09001 ]</t>
        </is>
      </c>
      <c r="C66" t="inlineStr">
        <is>
          <t>=S1</t>
        </is>
      </c>
      <c r="D66" t="inlineStr">
        <is>
          <t>+MS1.CC1</t>
        </is>
      </c>
      <c r="E66" t="inlineStr">
        <is>
          <t>-F09001</t>
        </is>
      </c>
      <c r="F66" t="inlineStr">
        <is>
          <t>001</t>
        </is>
      </c>
      <c r="H66" t="inlineStr">
        <is>
          <t>00</t>
        </is>
      </c>
      <c r="I66" t="inlineStr">
        <is>
          <t>BOOL</t>
        </is>
      </c>
      <c r="J66" t="inlineStr">
        <is>
          <t>&gt;</t>
        </is>
      </c>
      <c r="K66" t="n">
        <v>14</v>
      </c>
      <c r="L66" t="n">
        <v>0</v>
      </c>
      <c r="M6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6" t="inlineStr">
        <is>
          <t>PNC_Q_SORTER-02_CIRCUIT BREAKER TRIPPED 400V INDUCTION LINE GROUP IN1.CC1 [ =S1+MS1.CC1-F09001 ]</t>
        </is>
      </c>
      <c r="P66" t="inlineStr">
        <is>
          <t>"CIRCUIT BREAKER TRIPPED 400V INDUCTION LINE GROUP IN1.CC1 [ =S1+MS1.CC1-F09001 ]"</t>
        </is>
      </c>
    </row>
    <row r="67">
      <c r="A67" t="inlineStr">
        <is>
          <t>A</t>
        </is>
      </c>
      <c r="B67" t="inlineStr">
        <is>
          <t>CIRCUIT BREAKER TRIPPED 400V INDUCTION LINE GROUP IN2.CC1 [ =S1+MS1.CC1-F09002 ]</t>
        </is>
      </c>
      <c r="C67" t="inlineStr">
        <is>
          <t>=S1</t>
        </is>
      </c>
      <c r="D67" t="inlineStr">
        <is>
          <t>+MS1.CC1</t>
        </is>
      </c>
      <c r="E67" t="inlineStr">
        <is>
          <t>-F09002</t>
        </is>
      </c>
      <c r="F67" t="inlineStr">
        <is>
          <t>001</t>
        </is>
      </c>
      <c r="H67" t="inlineStr">
        <is>
          <t>01</t>
        </is>
      </c>
      <c r="I67" t="inlineStr">
        <is>
          <t>BOOL</t>
        </is>
      </c>
      <c r="J67" t="inlineStr">
        <is>
          <t>&gt;</t>
        </is>
      </c>
      <c r="K67" t="n">
        <v>14</v>
      </c>
      <c r="L67" t="n">
        <v>1</v>
      </c>
      <c r="M6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7" t="inlineStr">
        <is>
          <t>PNC_Q_SORTER-02_CIRCUIT BREAKER TRIPPED 400V INDUCTION LINE GROUP IN2.CC1 [ =S1+MS1.CC1-F09002 ]</t>
        </is>
      </c>
      <c r="P67" t="inlineStr">
        <is>
          <t>"CIRCUIT BREAKER TRIPPED 400V INDUCTION LINE GROUP IN2.CC1 [ =S1+MS1.CC1-F09002 ]"</t>
        </is>
      </c>
    </row>
    <row r="68">
      <c r="A68" t="inlineStr">
        <is>
          <t>A</t>
        </is>
      </c>
      <c r="B68" t="inlineStr">
        <is>
          <t>CIRCUIT BREAKER TRIPPED 400V UPSTREAM CABINET UL1.CC1 [ =S1+MS1.CC1-F09003 ]</t>
        </is>
      </c>
      <c r="C68" t="inlineStr">
        <is>
          <t>=S1</t>
        </is>
      </c>
      <c r="D68" t="inlineStr">
        <is>
          <t>+MS1.CC1</t>
        </is>
      </c>
      <c r="E68" t="inlineStr">
        <is>
          <t>-F09003</t>
        </is>
      </c>
      <c r="F68" t="inlineStr">
        <is>
          <t>001</t>
        </is>
      </c>
      <c r="H68" t="inlineStr">
        <is>
          <t>02</t>
        </is>
      </c>
      <c r="I68" t="inlineStr">
        <is>
          <t>BOOL</t>
        </is>
      </c>
      <c r="J68" t="inlineStr">
        <is>
          <t>&gt;</t>
        </is>
      </c>
      <c r="K68" t="n">
        <v>14</v>
      </c>
      <c r="L68" t="n">
        <v>2</v>
      </c>
      <c r="M6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8" t="inlineStr">
        <is>
          <t>PNC_Q_SORTER-02_CIRCUIT BREAKER TRIPPED 400V UPSTREAM CABINET UL1.CC1 [ =S1+MS1.CC1-F09003 ]</t>
        </is>
      </c>
      <c r="P68" t="inlineStr">
        <is>
          <t>"CIRCUIT BREAKER TRIPPED 400V UPSTREAM CABINET UL1.CC1 [ =S1+MS1.CC1-F09003 ]"</t>
        </is>
      </c>
    </row>
    <row r="69">
      <c r="A69" t="inlineStr">
        <is>
          <t>A</t>
        </is>
      </c>
      <c r="B69" t="inlineStr">
        <is>
          <t>CIRCUIT BREAKER TRIPPED 400V UPSTREAM CABINET UL2.CC1 [ =S1+MS1.CC1-F09004 ]</t>
        </is>
      </c>
      <c r="C69" t="inlineStr">
        <is>
          <t>=S1</t>
        </is>
      </c>
      <c r="D69" t="inlineStr">
        <is>
          <t>+MS1.CC1</t>
        </is>
      </c>
      <c r="E69" t="inlineStr">
        <is>
          <t>-F09004</t>
        </is>
      </c>
      <c r="F69" t="inlineStr">
        <is>
          <t>001</t>
        </is>
      </c>
      <c r="H69" t="inlineStr">
        <is>
          <t>03</t>
        </is>
      </c>
      <c r="I69" t="inlineStr">
        <is>
          <t>BOOL</t>
        </is>
      </c>
      <c r="J69" t="inlineStr">
        <is>
          <t>&gt;</t>
        </is>
      </c>
      <c r="K69" t="n">
        <v>14</v>
      </c>
      <c r="L69" t="n">
        <v>3</v>
      </c>
      <c r="M6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6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69" t="inlineStr">
        <is>
          <t>PNC_Q_SORTER-02_CIRCUIT BREAKER TRIPPED 400V UPSTREAM CABINET UL2.CC1 [ =S1+MS1.CC1-F09004 ]</t>
        </is>
      </c>
      <c r="P69" t="inlineStr">
        <is>
          <t>"CIRCUIT BREAKER TRIPPED 400V UPSTREAM CABINET UL2.CC1 [ =S1+MS1.CC1-F09004 ]"</t>
        </is>
      </c>
    </row>
    <row r="70">
      <c r="A70" t="inlineStr">
        <is>
          <t>A</t>
        </is>
      </c>
      <c r="B70" t="inlineStr">
        <is>
          <t>CIRCUIT BREAKER TRIPPED 400V  CHUTE CABINET DL1.CC1 [ =S1+MS1.CC1-F09005 ]</t>
        </is>
      </c>
      <c r="C70" t="inlineStr">
        <is>
          <t>=S1</t>
        </is>
      </c>
      <c r="D70" t="inlineStr">
        <is>
          <t>+MS1.CC1</t>
        </is>
      </c>
      <c r="E70" t="inlineStr">
        <is>
          <t>-F09005</t>
        </is>
      </c>
      <c r="F70" t="inlineStr">
        <is>
          <t>001</t>
        </is>
      </c>
      <c r="H70" t="inlineStr">
        <is>
          <t>04</t>
        </is>
      </c>
      <c r="I70" t="inlineStr">
        <is>
          <t>BOOL</t>
        </is>
      </c>
      <c r="J70" t="inlineStr">
        <is>
          <t>&gt;</t>
        </is>
      </c>
      <c r="K70" t="n">
        <v>14</v>
      </c>
      <c r="L70" t="n">
        <v>4</v>
      </c>
      <c r="M7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0" t="inlineStr">
        <is>
          <t>PNC_Q_SORTER-02_CIRCUIT BREAKER TRIPPED 400V  CHUTE CABINET DL1.CC1 [ =S1+MS1.CC1-F09005 ]</t>
        </is>
      </c>
      <c r="P70" t="inlineStr">
        <is>
          <t>"CIRCUIT BREAKER TRIPPED 400V  CHUTE CABINET DL1.CC1 [ =S1+MS1.CC1-F09005 ]"</t>
        </is>
      </c>
    </row>
    <row r="71">
      <c r="A71" t="inlineStr">
        <is>
          <t>A</t>
        </is>
      </c>
      <c r="B71" t="inlineStr">
        <is>
          <t>CIRCUIT BREAKER TRIPPED 400V  CHUTE CABINET DL2.CC1 [ =S1+MS1.CC1-F09101 ]</t>
        </is>
      </c>
      <c r="C71" t="inlineStr">
        <is>
          <t>=S1</t>
        </is>
      </c>
      <c r="D71" t="inlineStr">
        <is>
          <t>+MS1.CC1</t>
        </is>
      </c>
      <c r="E71" t="inlineStr">
        <is>
          <t>-F09101</t>
        </is>
      </c>
      <c r="F71" t="inlineStr">
        <is>
          <t>001</t>
        </is>
      </c>
      <c r="H71" t="inlineStr">
        <is>
          <t>05</t>
        </is>
      </c>
      <c r="I71" t="inlineStr">
        <is>
          <t>BOOL</t>
        </is>
      </c>
      <c r="J71" t="inlineStr">
        <is>
          <t>&gt;</t>
        </is>
      </c>
      <c r="K71" t="n">
        <v>14</v>
      </c>
      <c r="L71" t="n">
        <v>5</v>
      </c>
      <c r="M7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1" t="inlineStr">
        <is>
          <t>PNC_Q_SORTER-02_CIRCUIT BREAKER TRIPPED 400V  CHUTE CABINET DL2.CC1 [ =S1+MS1.CC1-F09101 ]</t>
        </is>
      </c>
      <c r="P71" t="inlineStr">
        <is>
          <t>"CIRCUIT BREAKER TRIPPED 400V  CHUTE CABINET DL2.CC1 [ =S1+MS1.CC1-F09101 ]"</t>
        </is>
      </c>
    </row>
    <row r="72">
      <c r="A72" t="inlineStr">
        <is>
          <t>A</t>
        </is>
      </c>
      <c r="B72" t="inlineStr">
        <is>
          <t>CIRCUIT BREAKER TRIPPED 400V  CHUTE CABINET DL2.CC1 [ =S1+MS1.CC1-F09102 ]</t>
        </is>
      </c>
      <c r="C72" t="inlineStr">
        <is>
          <t>=S1</t>
        </is>
      </c>
      <c r="D72" t="inlineStr">
        <is>
          <t>+MS1.CC1</t>
        </is>
      </c>
      <c r="E72" t="inlineStr">
        <is>
          <t>-F09102</t>
        </is>
      </c>
      <c r="F72" t="inlineStr">
        <is>
          <t>001</t>
        </is>
      </c>
      <c r="H72" t="inlineStr">
        <is>
          <t>06</t>
        </is>
      </c>
      <c r="I72" t="inlineStr">
        <is>
          <t>BOOL</t>
        </is>
      </c>
      <c r="J72" t="inlineStr">
        <is>
          <t>&gt;</t>
        </is>
      </c>
      <c r="K72" t="n">
        <v>14</v>
      </c>
      <c r="L72" t="n">
        <v>6</v>
      </c>
      <c r="M7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2" t="inlineStr">
        <is>
          <t>PNC_Q_SORTER-02_CIRCUIT BREAKER TRIPPED 400V  CHUTE CABINET DL2.CC1 [ =S1+MS1.CC1-F09102 ]</t>
        </is>
      </c>
      <c r="P72" t="inlineStr">
        <is>
          <t>"CIRCUIT BREAKER TRIPPED 400V  CHUTE CABINET DL2.CC1 [ =S1+MS1.CC1-F09102 ]"</t>
        </is>
      </c>
    </row>
    <row r="73">
      <c r="A73" t="inlineStr">
        <is>
          <t>A</t>
        </is>
      </c>
      <c r="B73" t="inlineStr">
        <is>
          <t>CIRCUIT BREAKER TRIPPED POWER INFEED 400V SAFETY IN2.CC1 [ =S1+IN2.CC1-F30001 ]</t>
        </is>
      </c>
      <c r="C73" t="inlineStr">
        <is>
          <t>=S1</t>
        </is>
      </c>
      <c r="D73" t="inlineStr">
        <is>
          <t>+IN2.CC1</t>
        </is>
      </c>
      <c r="E73" t="inlineStr">
        <is>
          <t>-F30001</t>
        </is>
      </c>
      <c r="F73" t="inlineStr">
        <is>
          <t>003</t>
        </is>
      </c>
      <c r="H73" t="inlineStr">
        <is>
          <t>00</t>
        </is>
      </c>
      <c r="I73" t="inlineStr">
        <is>
          <t>BOOL</t>
        </is>
      </c>
      <c r="J73" t="inlineStr">
        <is>
          <t>&gt;</t>
        </is>
      </c>
      <c r="K73" t="n">
        <v>14</v>
      </c>
      <c r="L73" t="n">
        <v>7</v>
      </c>
      <c r="M7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3" t="inlineStr">
        <is>
          <t>PNC_Q_SORTER-02_CIRCUIT BREAKER TRIPPED POWER INFEED 400V SAFETY IN2.CC1 [ =S1+IN2.CC1-F30001 ]</t>
        </is>
      </c>
      <c r="P73" t="inlineStr">
        <is>
          <t>"CIRCUIT BREAKER TRIPPED POWER INFEED 400V SAFETY IN2.CC1 [ =S1+IN2.CC1-F30001 ]"</t>
        </is>
      </c>
    </row>
    <row r="74">
      <c r="A74" t="inlineStr">
        <is>
          <t>A</t>
        </is>
      </c>
      <c r="B74" t="inlineStr">
        <is>
          <t>POWER SUPPLY UNIT FAILURE IN2.CC1 [ =S1+IN2.CC1-T30001 ]</t>
        </is>
      </c>
      <c r="C74" t="inlineStr">
        <is>
          <t>=S1</t>
        </is>
      </c>
      <c r="D74" t="inlineStr">
        <is>
          <t>+IN2.CC1</t>
        </is>
      </c>
      <c r="E74" t="inlineStr">
        <is>
          <t>-T30001</t>
        </is>
      </c>
      <c r="F74" t="inlineStr">
        <is>
          <t>003</t>
        </is>
      </c>
      <c r="H74" t="inlineStr">
        <is>
          <t>01</t>
        </is>
      </c>
      <c r="I74" t="inlineStr">
        <is>
          <t>BOOL</t>
        </is>
      </c>
      <c r="J74" t="inlineStr">
        <is>
          <t>&gt;</t>
        </is>
      </c>
      <c r="K74" t="n">
        <v>15</v>
      </c>
      <c r="L74" t="n">
        <v>0</v>
      </c>
      <c r="M7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4" t="inlineStr">
        <is>
          <t>PNC_Q_SORTER-02_POWER SUPPLY UNIT FAILURE IN2.CC1 [ =S1+IN2.CC1-T30001 ]</t>
        </is>
      </c>
      <c r="P74" t="inlineStr">
        <is>
          <t>"POWER SUPPLY UNIT FAILURE IN2.CC1 [ =S1+IN2.CC1-T30001 ]"</t>
        </is>
      </c>
    </row>
    <row r="75">
      <c r="A75" t="inlineStr">
        <is>
          <t>A</t>
        </is>
      </c>
      <c r="B75" t="inlineStr">
        <is>
          <t>CIRCUIT BREAKER TRIPPED POWER SUPPLY 24V SAFETY AND I/O  IN2.CC1 [ =S1+IN2.CC1-F30102 ]</t>
        </is>
      </c>
      <c r="C75" t="inlineStr">
        <is>
          <t>=S1</t>
        </is>
      </c>
      <c r="D75" t="inlineStr">
        <is>
          <t>+IN2.CC1</t>
        </is>
      </c>
      <c r="E75" t="inlineStr">
        <is>
          <t>-F30102</t>
        </is>
      </c>
      <c r="F75" t="inlineStr">
        <is>
          <t>003</t>
        </is>
      </c>
      <c r="H75" t="inlineStr">
        <is>
          <t>02</t>
        </is>
      </c>
      <c r="I75" t="inlineStr">
        <is>
          <t>BOOL</t>
        </is>
      </c>
      <c r="J75" t="inlineStr">
        <is>
          <t>&gt;</t>
        </is>
      </c>
      <c r="K75" t="n">
        <v>15</v>
      </c>
      <c r="L75" t="n">
        <v>1</v>
      </c>
      <c r="M7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5" t="inlineStr">
        <is>
          <t>PNC_Q_SORTER-02_CIRCUIT BREAKER TRIPPED POWER SUPPLY 24V SAFETY AND I/O  IN2.CC1 [ =S1+IN2.CC1-F30102 ]</t>
        </is>
      </c>
      <c r="P75" t="inlineStr">
        <is>
          <t>"CIRCUIT BREAKER TRIPPED POWER SUPPLY 24V SAFETY AND I/O  IN2.CC1 [ =S1+IN2.CC1-F30102 ]"</t>
        </is>
      </c>
    </row>
    <row r="76">
      <c r="A76" t="inlineStr">
        <is>
          <t>A</t>
        </is>
      </c>
      <c r="B76" t="inlineStr">
        <is>
          <t>CIRCUIT BREAKER TRIPPED POWER SUPPLY 24V SWITCH IN2.CC1 [ =S1+IN2.CC1-F30101 ]</t>
        </is>
      </c>
      <c r="C76" t="inlineStr">
        <is>
          <t>=S1</t>
        </is>
      </c>
      <c r="D76" t="inlineStr">
        <is>
          <t>+IN2.CC1</t>
        </is>
      </c>
      <c r="E76" t="inlineStr">
        <is>
          <t>-F30101</t>
        </is>
      </c>
      <c r="F76" t="inlineStr">
        <is>
          <t>003</t>
        </is>
      </c>
      <c r="H76" t="inlineStr">
        <is>
          <t>03</t>
        </is>
      </c>
      <c r="I76" t="inlineStr">
        <is>
          <t>BOOL</t>
        </is>
      </c>
      <c r="J76" t="inlineStr">
        <is>
          <t>&gt;</t>
        </is>
      </c>
      <c r="K76" t="n">
        <v>15</v>
      </c>
      <c r="L76" t="n">
        <v>2</v>
      </c>
      <c r="M7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6" t="inlineStr">
        <is>
          <t>PNC_Q_SORTER-02_CIRCUIT BREAKER TRIPPED POWER SUPPLY 24V SWITCH IN2.CC1 [ =S1+IN2.CC1-F30101 ]</t>
        </is>
      </c>
      <c r="P76" t="inlineStr">
        <is>
          <t>"CIRCUIT BREAKER TRIPPED POWER SUPPLY 24V SWITCH IN2.CC1 [ =S1+IN2.CC1-F30101 ]"</t>
        </is>
      </c>
    </row>
    <row r="77">
      <c r="A77" t="inlineStr">
        <is>
          <t>A</t>
        </is>
      </c>
      <c r="B77" t="inlineStr">
        <is>
          <t>PROFINET SWITCH FAULT  [ =S1+IN2.CC1-K60001 ]</t>
        </is>
      </c>
      <c r="C77" t="inlineStr">
        <is>
          <t>=S1</t>
        </is>
      </c>
      <c r="D77" t="inlineStr">
        <is>
          <t>+IN2.CC1</t>
        </is>
      </c>
      <c r="E77" t="inlineStr">
        <is>
          <t>-K60001</t>
        </is>
      </c>
      <c r="F77" t="inlineStr">
        <is>
          <t>003</t>
        </is>
      </c>
      <c r="H77" t="inlineStr">
        <is>
          <t>04</t>
        </is>
      </c>
      <c r="I77" t="inlineStr">
        <is>
          <t>BOOL</t>
        </is>
      </c>
      <c r="J77" t="inlineStr">
        <is>
          <t>&gt;</t>
        </is>
      </c>
      <c r="K77" t="n">
        <v>15</v>
      </c>
      <c r="L77" t="n">
        <v>3</v>
      </c>
      <c r="M7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7" t="inlineStr">
        <is>
          <t>PNC_Q_SORTER-02_PROFINET SWITCH FAULT  [ =S1+IN2.CC1-K60001 ]</t>
        </is>
      </c>
      <c r="P77" t="inlineStr">
        <is>
          <t>"PROFINET SWITCH FAULT  [ =S1+IN2.CC1-K60001 ]"</t>
        </is>
      </c>
    </row>
    <row r="78">
      <c r="A78" t="inlineStr">
        <is>
          <t>A</t>
        </is>
      </c>
      <c r="B78" t="inlineStr">
        <is>
          <t>CIRCUIT BREAKER TRIPPED 400V INDUCTION LINE GROUP IN1.CC1 [ =S2+MS2.CC1-F09001 ]</t>
        </is>
      </c>
      <c r="C78" t="inlineStr">
        <is>
          <t>=S2</t>
        </is>
      </c>
      <c r="D78" t="inlineStr">
        <is>
          <t>+MS2.CC1</t>
        </is>
      </c>
      <c r="E78" t="inlineStr">
        <is>
          <t>-F09001</t>
        </is>
      </c>
      <c r="F78" t="inlineStr">
        <is>
          <t>005</t>
        </is>
      </c>
      <c r="H78" t="inlineStr">
        <is>
          <t>00</t>
        </is>
      </c>
      <c r="I78" t="inlineStr">
        <is>
          <t>BOOL</t>
        </is>
      </c>
      <c r="J78" t="inlineStr">
        <is>
          <t>&gt;</t>
        </is>
      </c>
      <c r="K78" t="n">
        <v>15</v>
      </c>
      <c r="L78" t="n">
        <v>4</v>
      </c>
      <c r="M7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8" t="inlineStr">
        <is>
          <t>PNC_Q_SORTER-02_CIRCUIT BREAKER TRIPPED 400V INDUCTION LINE GROUP IN1.CC1 [ =S2+MS2.CC1-F09001 ]</t>
        </is>
      </c>
      <c r="P78" t="inlineStr">
        <is>
          <t>"CIRCUIT BREAKER TRIPPED 400V INDUCTION LINE GROUP IN1.CC1 [ =S2+MS2.CC1-F09001 ]"</t>
        </is>
      </c>
    </row>
    <row r="79">
      <c r="A79" t="inlineStr">
        <is>
          <t>A</t>
        </is>
      </c>
      <c r="B79" t="inlineStr">
        <is>
          <t>CIRCUIT BREAKER TRIPPED 400V INDUCTION LINE GROUP IN2.CC1 [ =S2+MS2.CC1-F09002 ]</t>
        </is>
      </c>
      <c r="C79" t="inlineStr">
        <is>
          <t>=S2</t>
        </is>
      </c>
      <c r="D79" t="inlineStr">
        <is>
          <t>+MS2.CC1</t>
        </is>
      </c>
      <c r="E79" t="inlineStr">
        <is>
          <t>-F09002</t>
        </is>
      </c>
      <c r="F79" t="inlineStr">
        <is>
          <t>005</t>
        </is>
      </c>
      <c r="H79" t="inlineStr">
        <is>
          <t>01</t>
        </is>
      </c>
      <c r="I79" t="inlineStr">
        <is>
          <t>BOOL</t>
        </is>
      </c>
      <c r="J79" t="inlineStr">
        <is>
          <t>&gt;</t>
        </is>
      </c>
      <c r="K79" t="n">
        <v>15</v>
      </c>
      <c r="L79" t="n">
        <v>5</v>
      </c>
      <c r="M7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7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79" t="inlineStr">
        <is>
          <t>PNC_Q_SORTER-02_CIRCUIT BREAKER TRIPPED 400V INDUCTION LINE GROUP IN2.CC1 [ =S2+MS2.CC1-F09002 ]</t>
        </is>
      </c>
      <c r="P79" t="inlineStr">
        <is>
          <t>"CIRCUIT BREAKER TRIPPED 400V INDUCTION LINE GROUP IN2.CC1 [ =S2+MS2.CC1-F09002 ]"</t>
        </is>
      </c>
    </row>
    <row r="80">
      <c r="A80" t="inlineStr">
        <is>
          <t>A</t>
        </is>
      </c>
      <c r="B80" t="inlineStr">
        <is>
          <t>CIRCUIT BREAKER TRIPPED 400V UPSTREAM CABINET UL1.CC1 [ =S2+MS2.CC1-F09003 ]</t>
        </is>
      </c>
      <c r="C80" t="inlineStr">
        <is>
          <t>=S2</t>
        </is>
      </c>
      <c r="D80" t="inlineStr">
        <is>
          <t>+MS2.CC1</t>
        </is>
      </c>
      <c r="E80" t="inlineStr">
        <is>
          <t>-F09003</t>
        </is>
      </c>
      <c r="F80" t="inlineStr">
        <is>
          <t>005</t>
        </is>
      </c>
      <c r="H80" t="inlineStr">
        <is>
          <t>02</t>
        </is>
      </c>
      <c r="I80" t="inlineStr">
        <is>
          <t>BOOL</t>
        </is>
      </c>
      <c r="J80" t="inlineStr">
        <is>
          <t>&gt;</t>
        </is>
      </c>
      <c r="K80" t="n">
        <v>15</v>
      </c>
      <c r="L80" t="n">
        <v>6</v>
      </c>
      <c r="M8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0" t="inlineStr">
        <is>
          <t>PNC_Q_SORTER-02_CIRCUIT BREAKER TRIPPED 400V UPSTREAM CABINET UL1.CC1 [ =S2+MS2.CC1-F09003 ]</t>
        </is>
      </c>
      <c r="P80" t="inlineStr">
        <is>
          <t>"CIRCUIT BREAKER TRIPPED 400V UPSTREAM CABINET UL1.CC1 [ =S2+MS2.CC1-F09003 ]"</t>
        </is>
      </c>
    </row>
    <row r="81">
      <c r="A81" t="inlineStr">
        <is>
          <t>A</t>
        </is>
      </c>
      <c r="B81" t="inlineStr">
        <is>
          <t>CIRCUIT BREAKER TRIPPED 400V UPSTREAM CABINET UL2.CC1 [ =S2+MS2.CC1-F09004 ]</t>
        </is>
      </c>
      <c r="C81" t="inlineStr">
        <is>
          <t>=S2</t>
        </is>
      </c>
      <c r="D81" t="inlineStr">
        <is>
          <t>+MS2.CC1</t>
        </is>
      </c>
      <c r="E81" t="inlineStr">
        <is>
          <t>-F09004</t>
        </is>
      </c>
      <c r="F81" t="inlineStr">
        <is>
          <t>005</t>
        </is>
      </c>
      <c r="H81" t="inlineStr">
        <is>
          <t>03</t>
        </is>
      </c>
      <c r="I81" t="inlineStr">
        <is>
          <t>BOOL</t>
        </is>
      </c>
      <c r="J81" t="inlineStr">
        <is>
          <t>&gt;</t>
        </is>
      </c>
      <c r="K81" t="n">
        <v>15</v>
      </c>
      <c r="L81" t="n">
        <v>7</v>
      </c>
      <c r="M8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1" t="inlineStr">
        <is>
          <t>PNC_Q_SORTER-02_CIRCUIT BREAKER TRIPPED 400V UPSTREAM CABINET UL2.CC1 [ =S2+MS2.CC1-F09004 ]</t>
        </is>
      </c>
      <c r="P81" t="inlineStr">
        <is>
          <t>"CIRCUIT BREAKER TRIPPED 400V UPSTREAM CABINET UL2.CC1 [ =S2+MS2.CC1-F09004 ]"</t>
        </is>
      </c>
    </row>
    <row r="82">
      <c r="A82" t="inlineStr">
        <is>
          <t>A</t>
        </is>
      </c>
      <c r="B82" t="inlineStr">
        <is>
          <t>CIRCUIT BREAKER TRIPPED 400V  CHUTE CABINET DL1.CC1 [ =S2+MS2.CC1-F09005 ]</t>
        </is>
      </c>
      <c r="C82" t="inlineStr">
        <is>
          <t>=S2</t>
        </is>
      </c>
      <c r="D82" t="inlineStr">
        <is>
          <t>+MS2.CC1</t>
        </is>
      </c>
      <c r="E82" t="inlineStr">
        <is>
          <t>-F09005</t>
        </is>
      </c>
      <c r="F82" t="inlineStr">
        <is>
          <t>005</t>
        </is>
      </c>
      <c r="H82" t="inlineStr">
        <is>
          <t>04</t>
        </is>
      </c>
      <c r="I82" t="inlineStr">
        <is>
          <t>BOOL</t>
        </is>
      </c>
      <c r="J82" t="inlineStr">
        <is>
          <t>&gt;</t>
        </is>
      </c>
      <c r="K82" t="n">
        <v>16</v>
      </c>
      <c r="L82" t="n">
        <v>0</v>
      </c>
      <c r="M8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2" t="inlineStr">
        <is>
          <t>PNC_Q_SORTER-02_CIRCUIT BREAKER TRIPPED 400V  CHUTE CABINET DL1.CC1 [ =S2+MS2.CC1-F09005 ]</t>
        </is>
      </c>
      <c r="P82" t="inlineStr">
        <is>
          <t>"CIRCUIT BREAKER TRIPPED 400V  CHUTE CABINET DL1.CC1 [ =S2+MS2.CC1-F09005 ]"</t>
        </is>
      </c>
    </row>
    <row r="83">
      <c r="A83" t="inlineStr">
        <is>
          <t>A</t>
        </is>
      </c>
      <c r="B83" t="inlineStr">
        <is>
          <t>CIRCUIT BREAKER TRIPPED 400V  CHUTE CABINET DL2.CC1 [ =S2+MS2.CC1-F09101 ]</t>
        </is>
      </c>
      <c r="C83" t="inlineStr">
        <is>
          <t>=S2</t>
        </is>
      </c>
      <c r="D83" t="inlineStr">
        <is>
          <t>+MS2.CC1</t>
        </is>
      </c>
      <c r="E83" t="inlineStr">
        <is>
          <t>-F09101</t>
        </is>
      </c>
      <c r="F83" t="inlineStr">
        <is>
          <t>005</t>
        </is>
      </c>
      <c r="H83" t="inlineStr">
        <is>
          <t>05</t>
        </is>
      </c>
      <c r="I83" t="inlineStr">
        <is>
          <t>BOOL</t>
        </is>
      </c>
      <c r="J83" t="inlineStr">
        <is>
          <t>&gt;</t>
        </is>
      </c>
      <c r="K83" t="n">
        <v>16</v>
      </c>
      <c r="L83" t="n">
        <v>1</v>
      </c>
      <c r="M8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3" t="inlineStr">
        <is>
          <t>PNC_Q_SORTER-02_CIRCUIT BREAKER TRIPPED 400V  CHUTE CABINET DL2.CC1 [ =S2+MS2.CC1-F09101 ]</t>
        </is>
      </c>
      <c r="P83" t="inlineStr">
        <is>
          <t>"CIRCUIT BREAKER TRIPPED 400V  CHUTE CABINET DL2.CC1 [ =S2+MS2.CC1-F09101 ]"</t>
        </is>
      </c>
    </row>
    <row r="84">
      <c r="A84" t="inlineStr">
        <is>
          <t>A</t>
        </is>
      </c>
      <c r="B84" t="inlineStr">
        <is>
          <t>CIRCUIT BREAKER TRIPPED 400V  CHUTE CABINET DL2.CC1 [ =S2+MS2.CC1-F09102 ]</t>
        </is>
      </c>
      <c r="C84" t="inlineStr">
        <is>
          <t>=S2</t>
        </is>
      </c>
      <c r="D84" t="inlineStr">
        <is>
          <t>+MS2.CC1</t>
        </is>
      </c>
      <c r="E84" t="inlineStr">
        <is>
          <t>-F09102</t>
        </is>
      </c>
      <c r="F84" t="inlineStr">
        <is>
          <t>005</t>
        </is>
      </c>
      <c r="H84" t="inlineStr">
        <is>
          <t>06</t>
        </is>
      </c>
      <c r="I84" t="inlineStr">
        <is>
          <t>BOOL</t>
        </is>
      </c>
      <c r="J84" t="inlineStr">
        <is>
          <t>&gt;</t>
        </is>
      </c>
      <c r="K84" t="n">
        <v>16</v>
      </c>
      <c r="L84" t="n">
        <v>2</v>
      </c>
      <c r="M8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4" t="inlineStr">
        <is>
          <t>PNC_Q_SORTER-02_CIRCUIT BREAKER TRIPPED 400V  CHUTE CABINET DL2.CC1 [ =S2+MS2.CC1-F09102 ]</t>
        </is>
      </c>
      <c r="P84" t="inlineStr">
        <is>
          <t>"CIRCUIT BREAKER TRIPPED 400V  CHUTE CABINET DL2.CC1 [ =S2+MS2.CC1-F09102 ]"</t>
        </is>
      </c>
    </row>
    <row r="85">
      <c r="A85" t="inlineStr">
        <is>
          <t>A</t>
        </is>
      </c>
      <c r="B85" t="inlineStr">
        <is>
          <t>CIRCUIT BREAKER TRIPPED POWER INFEED 400V SAFETY IN2.CC1 [ =S2+IN4.CC1-F30001 ]</t>
        </is>
      </c>
      <c r="C85" t="inlineStr">
        <is>
          <t>=S2</t>
        </is>
      </c>
      <c r="D85" t="inlineStr">
        <is>
          <t>+IN4.CC1</t>
        </is>
      </c>
      <c r="E85" t="inlineStr">
        <is>
          <t>-F30001</t>
        </is>
      </c>
      <c r="F85" t="inlineStr">
        <is>
          <t>007</t>
        </is>
      </c>
      <c r="H85" t="inlineStr">
        <is>
          <t>00</t>
        </is>
      </c>
      <c r="I85" t="inlineStr">
        <is>
          <t>BOOL</t>
        </is>
      </c>
      <c r="J85" t="inlineStr">
        <is>
          <t>&gt;</t>
        </is>
      </c>
      <c r="K85" t="n">
        <v>16</v>
      </c>
      <c r="L85" t="n">
        <v>3</v>
      </c>
      <c r="M8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5" t="inlineStr">
        <is>
          <t>PNC_Q_SORTER-02_CIRCUIT BREAKER TRIPPED POWER INFEED 400V SAFETY IN2.CC1 [ =S2+IN4.CC1-F30001 ]</t>
        </is>
      </c>
      <c r="P85" t="inlineStr">
        <is>
          <t>"CIRCUIT BREAKER TRIPPED POWER INFEED 400V SAFETY IN2.CC1 [ =S2+IN4.CC1-F30001 ]"</t>
        </is>
      </c>
    </row>
    <row r="86">
      <c r="A86" t="inlineStr">
        <is>
          <t>A</t>
        </is>
      </c>
      <c r="B86" t="inlineStr">
        <is>
          <t>POWER SUPPLY UNIT FAILURE IN2.CC1 [ =S2+IN4.CC1-T30001 ]</t>
        </is>
      </c>
      <c r="C86" t="inlineStr">
        <is>
          <t>=S2</t>
        </is>
      </c>
      <c r="D86" t="inlineStr">
        <is>
          <t>+IN4.CC1</t>
        </is>
      </c>
      <c r="E86" t="inlineStr">
        <is>
          <t>-T30001</t>
        </is>
      </c>
      <c r="F86" t="inlineStr">
        <is>
          <t>007</t>
        </is>
      </c>
      <c r="H86" t="inlineStr">
        <is>
          <t>01</t>
        </is>
      </c>
      <c r="I86" t="inlineStr">
        <is>
          <t>BOOL</t>
        </is>
      </c>
      <c r="J86" t="inlineStr">
        <is>
          <t>&gt;</t>
        </is>
      </c>
      <c r="K86" t="n">
        <v>16</v>
      </c>
      <c r="L86" t="n">
        <v>4</v>
      </c>
      <c r="M8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6" t="inlineStr">
        <is>
          <t>PNC_Q_SORTER-02_POWER SUPPLY UNIT FAILURE IN2.CC1 [ =S2+IN4.CC1-T30001 ]</t>
        </is>
      </c>
      <c r="P86" t="inlineStr">
        <is>
          <t>"POWER SUPPLY UNIT FAILURE IN2.CC1 [ =S2+IN4.CC1-T30001 ]"</t>
        </is>
      </c>
    </row>
    <row r="87">
      <c r="A87" t="inlineStr">
        <is>
          <t>A</t>
        </is>
      </c>
      <c r="B87" t="inlineStr">
        <is>
          <t>CIRCUIT BREAKER TRIPPED POWER SUPPLY 24V SAFETY AND I/O  IN2.CC1 [ =S2+IN4.CC1-F30102 ]</t>
        </is>
      </c>
      <c r="C87" t="inlineStr">
        <is>
          <t>=S2</t>
        </is>
      </c>
      <c r="D87" t="inlineStr">
        <is>
          <t>+IN4.CC1</t>
        </is>
      </c>
      <c r="E87" t="inlineStr">
        <is>
          <t>-F30102</t>
        </is>
      </c>
      <c r="F87" t="inlineStr">
        <is>
          <t>007</t>
        </is>
      </c>
      <c r="H87" t="inlineStr">
        <is>
          <t>02</t>
        </is>
      </c>
      <c r="I87" t="inlineStr">
        <is>
          <t>BOOL</t>
        </is>
      </c>
      <c r="J87" t="inlineStr">
        <is>
          <t>&gt;</t>
        </is>
      </c>
      <c r="K87" t="n">
        <v>16</v>
      </c>
      <c r="L87" t="n">
        <v>5</v>
      </c>
      <c r="M8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7" t="inlineStr">
        <is>
          <t>PNC_Q_SORTER-02_CIRCUIT BREAKER TRIPPED POWER SUPPLY 24V SAFETY AND I/O  IN2.CC1 [ =S2+IN4.CC1-F30102 ]</t>
        </is>
      </c>
      <c r="P87" t="inlineStr">
        <is>
          <t>"CIRCUIT BREAKER TRIPPED POWER SUPPLY 24V SAFETY AND I/O  IN2.CC1 [ =S2+IN4.CC1-F30102 ]"</t>
        </is>
      </c>
    </row>
    <row r="88">
      <c r="A88" t="inlineStr">
        <is>
          <t>A</t>
        </is>
      </c>
      <c r="B88" t="inlineStr">
        <is>
          <t>CIRCUIT BREAKER TRIPPED POWER SUPPLY 24V SWITCH IN2.CC1 [ =S2+IN4.CC1-F30101 ]</t>
        </is>
      </c>
      <c r="C88" t="inlineStr">
        <is>
          <t>=S2</t>
        </is>
      </c>
      <c r="D88" t="inlineStr">
        <is>
          <t>+IN4.CC1</t>
        </is>
      </c>
      <c r="E88" t="inlineStr">
        <is>
          <t>-F30101</t>
        </is>
      </c>
      <c r="F88" t="inlineStr">
        <is>
          <t>007</t>
        </is>
      </c>
      <c r="H88" t="inlineStr">
        <is>
          <t>03</t>
        </is>
      </c>
      <c r="I88" t="inlineStr">
        <is>
          <t>BOOL</t>
        </is>
      </c>
      <c r="J88" t="inlineStr">
        <is>
          <t>&gt;</t>
        </is>
      </c>
      <c r="K88" t="n">
        <v>16</v>
      </c>
      <c r="L88" t="n">
        <v>6</v>
      </c>
      <c r="M8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8" t="inlineStr">
        <is>
          <t>PNC_Q_SORTER-02_CIRCUIT BREAKER TRIPPED POWER SUPPLY 24V SWITCH IN2.CC1 [ =S2+IN4.CC1-F30101 ]</t>
        </is>
      </c>
      <c r="P88" t="inlineStr">
        <is>
          <t>"CIRCUIT BREAKER TRIPPED POWER SUPPLY 24V SWITCH IN2.CC1 [ =S2+IN4.CC1-F30101 ]"</t>
        </is>
      </c>
    </row>
    <row r="89">
      <c r="A89" t="inlineStr">
        <is>
          <t>A</t>
        </is>
      </c>
      <c r="B89" t="inlineStr">
        <is>
          <t>PROFINET SWITCH FAULT  [ =S2+IN4.CC1-K60001 ]</t>
        </is>
      </c>
      <c r="C89" t="inlineStr">
        <is>
          <t>=S2</t>
        </is>
      </c>
      <c r="D89" t="inlineStr">
        <is>
          <t>+IN4.CC1</t>
        </is>
      </c>
      <c r="E89" t="inlineStr">
        <is>
          <t>-K60001</t>
        </is>
      </c>
      <c r="F89" t="inlineStr">
        <is>
          <t>007</t>
        </is>
      </c>
      <c r="H89" t="inlineStr">
        <is>
          <t>04</t>
        </is>
      </c>
      <c r="I89" t="inlineStr">
        <is>
          <t>BOOL</t>
        </is>
      </c>
      <c r="J89" t="inlineStr">
        <is>
          <t>&gt;</t>
        </is>
      </c>
      <c r="K89" t="n">
        <v>16</v>
      </c>
      <c r="L89" t="n">
        <v>7</v>
      </c>
      <c r="M8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8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89" t="inlineStr">
        <is>
          <t>PNC_Q_SORTER-02_PROFINET SWITCH FAULT  [ =S2+IN4.CC1-K60001 ]</t>
        </is>
      </c>
      <c r="P89" t="inlineStr">
        <is>
          <t>"PROFINET SWITCH FAULT  [ =S2+IN4.CC1-K60001 ]"</t>
        </is>
      </c>
    </row>
    <row r="90">
      <c r="A90" t="inlineStr">
        <is>
          <t>A</t>
        </is>
      </c>
      <c r="B90" t="inlineStr"/>
      <c r="C90" t="inlineStr"/>
      <c r="D90" t="inlineStr"/>
      <c r="E90" t="inlineStr"/>
      <c r="I90" t="inlineStr">
        <is>
          <t>BOOL</t>
        </is>
      </c>
      <c r="J90" t="inlineStr">
        <is>
          <t>&gt;</t>
        </is>
      </c>
      <c r="K90" t="n">
        <v>17</v>
      </c>
      <c r="L90" t="n">
        <v>0</v>
      </c>
      <c r="M9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0" t="inlineStr"/>
      <c r="P90" t="inlineStr"/>
    </row>
    <row r="91">
      <c r="A91" t="inlineStr">
        <is>
          <t>A</t>
        </is>
      </c>
      <c r="B91" t="inlineStr"/>
      <c r="C91" t="inlineStr"/>
      <c r="D91" t="inlineStr"/>
      <c r="E91" t="inlineStr"/>
      <c r="I91" t="inlineStr">
        <is>
          <t>BOOL</t>
        </is>
      </c>
      <c r="J91" t="inlineStr">
        <is>
          <t>&gt;</t>
        </is>
      </c>
      <c r="K91" t="n">
        <v>17</v>
      </c>
      <c r="L91" t="n">
        <v>1</v>
      </c>
      <c r="M9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1" t="inlineStr"/>
      <c r="P91" t="inlineStr"/>
    </row>
    <row r="92">
      <c r="A92" t="inlineStr">
        <is>
          <t>A</t>
        </is>
      </c>
      <c r="B92" t="inlineStr"/>
      <c r="C92" t="inlineStr"/>
      <c r="D92" t="inlineStr"/>
      <c r="E92" t="inlineStr"/>
      <c r="I92" t="inlineStr">
        <is>
          <t>BOOL</t>
        </is>
      </c>
      <c r="J92" t="inlineStr">
        <is>
          <t>&gt;</t>
        </is>
      </c>
      <c r="K92" t="n">
        <v>17</v>
      </c>
      <c r="L92" t="n">
        <v>2</v>
      </c>
      <c r="M9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2" t="inlineStr"/>
      <c r="P92" t="inlineStr"/>
    </row>
    <row r="93">
      <c r="A93" t="inlineStr">
        <is>
          <t>A</t>
        </is>
      </c>
      <c r="B93" t="inlineStr"/>
      <c r="C93" t="inlineStr"/>
      <c r="D93" t="inlineStr"/>
      <c r="E93" t="inlineStr"/>
      <c r="I93" t="inlineStr">
        <is>
          <t>BOOL</t>
        </is>
      </c>
      <c r="J93" t="inlineStr">
        <is>
          <t>&gt;</t>
        </is>
      </c>
      <c r="K93" t="n">
        <v>17</v>
      </c>
      <c r="L93" t="n">
        <v>3</v>
      </c>
      <c r="M9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3" t="inlineStr"/>
      <c r="P93" t="inlineStr"/>
    </row>
    <row r="94">
      <c r="A94" t="inlineStr">
        <is>
          <t>A</t>
        </is>
      </c>
      <c r="B94" t="inlineStr"/>
      <c r="C94" t="inlineStr"/>
      <c r="D94" t="inlineStr"/>
      <c r="E94" t="inlineStr"/>
      <c r="I94" t="inlineStr">
        <is>
          <t>BOOL</t>
        </is>
      </c>
      <c r="J94" t="inlineStr">
        <is>
          <t>&gt;</t>
        </is>
      </c>
      <c r="K94" t="n">
        <v>17</v>
      </c>
      <c r="L94" t="n">
        <v>4</v>
      </c>
      <c r="M9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4" t="inlineStr"/>
      <c r="P94" t="inlineStr"/>
    </row>
    <row r="95">
      <c r="A95" t="inlineStr">
        <is>
          <t>A</t>
        </is>
      </c>
      <c r="B95" t="inlineStr"/>
      <c r="C95" t="inlineStr"/>
      <c r="D95" t="inlineStr"/>
      <c r="E95" t="inlineStr"/>
      <c r="I95" t="inlineStr">
        <is>
          <t>BOOL</t>
        </is>
      </c>
      <c r="J95" t="inlineStr">
        <is>
          <t>&gt;</t>
        </is>
      </c>
      <c r="K95" t="n">
        <v>17</v>
      </c>
      <c r="L95" t="n">
        <v>5</v>
      </c>
      <c r="M9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5" t="inlineStr"/>
      <c r="P95" t="inlineStr"/>
    </row>
    <row r="96">
      <c r="A96" t="inlineStr">
        <is>
          <t>A</t>
        </is>
      </c>
      <c r="B96" t="inlineStr"/>
      <c r="C96" t="inlineStr"/>
      <c r="D96" t="inlineStr"/>
      <c r="E96" t="inlineStr"/>
      <c r="I96" t="inlineStr">
        <is>
          <t>BOOL</t>
        </is>
      </c>
      <c r="J96" t="inlineStr">
        <is>
          <t>&gt;</t>
        </is>
      </c>
      <c r="K96" t="n">
        <v>17</v>
      </c>
      <c r="L96" t="n">
        <v>6</v>
      </c>
      <c r="M9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6" t="inlineStr"/>
      <c r="P96" t="inlineStr"/>
    </row>
    <row r="97">
      <c r="A97" t="inlineStr">
        <is>
          <t>A</t>
        </is>
      </c>
      <c r="B97" t="inlineStr"/>
      <c r="C97" t="inlineStr"/>
      <c r="D97" t="inlineStr"/>
      <c r="E97" t="inlineStr"/>
      <c r="I97" t="inlineStr">
        <is>
          <t>BOOL</t>
        </is>
      </c>
      <c r="J97" t="inlineStr">
        <is>
          <t>&gt;</t>
        </is>
      </c>
      <c r="K97" t="n">
        <v>17</v>
      </c>
      <c r="L97" t="n">
        <v>7</v>
      </c>
      <c r="M9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7" t="inlineStr"/>
      <c r="P97" t="inlineStr"/>
    </row>
    <row r="99">
      <c r="A99" t="inlineStr">
        <is>
          <t>W</t>
        </is>
      </c>
      <c r="B99" t="inlineStr">
        <is>
          <t>CIRCUIT BREAKER TRIPPED POWER INFEED 400V SAFETY IN1.CC1 [ =S1+IN1.CC1-F30001 ]</t>
        </is>
      </c>
      <c r="C99" t="inlineStr">
        <is>
          <t>=S1</t>
        </is>
      </c>
      <c r="D99" t="inlineStr">
        <is>
          <t>+IN1.CC1</t>
        </is>
      </c>
      <c r="E99" t="inlineStr">
        <is>
          <t>-F30001</t>
        </is>
      </c>
      <c r="F99" t="inlineStr">
        <is>
          <t>002</t>
        </is>
      </c>
      <c r="H99" t="inlineStr">
        <is>
          <t>00</t>
        </is>
      </c>
      <c r="I99" t="inlineStr">
        <is>
          <t>BOOL</t>
        </is>
      </c>
      <c r="J99" t="inlineStr">
        <is>
          <t>&gt;</t>
        </is>
      </c>
      <c r="K99" t="n">
        <v>18</v>
      </c>
      <c r="L99" t="n">
        <v>0</v>
      </c>
      <c r="M9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9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99" t="inlineStr">
        <is>
          <t>PNC_Q_SORTER-02_CIRCUIT BREAKER TRIPPED POWER INFEED 400V SAFETY IN1.CC1 [ =S1+IN1.CC1-F30001 ]</t>
        </is>
      </c>
      <c r="P99" t="inlineStr">
        <is>
          <t>"CIRCUIT BREAKER TRIPPED POWER INFEED 400V SAFETY IN1.CC1 [ =S1+IN1.CC1-F30001 ]"</t>
        </is>
      </c>
    </row>
    <row r="100">
      <c r="A100" t="inlineStr">
        <is>
          <t>W</t>
        </is>
      </c>
      <c r="B100" t="inlineStr">
        <is>
          <t>POWER SUPPLY UNIT FAILURE IN1.CC1 [ =S1+IN1.CC1-T30001 ]</t>
        </is>
      </c>
      <c r="C100" t="inlineStr">
        <is>
          <t>=S1</t>
        </is>
      </c>
      <c r="D100" t="inlineStr">
        <is>
          <t>+IN1.CC1</t>
        </is>
      </c>
      <c r="E100" t="inlineStr">
        <is>
          <t>-T30001</t>
        </is>
      </c>
      <c r="F100" t="inlineStr">
        <is>
          <t>002</t>
        </is>
      </c>
      <c r="H100" t="inlineStr">
        <is>
          <t>01</t>
        </is>
      </c>
      <c r="I100" t="inlineStr">
        <is>
          <t>BOOL</t>
        </is>
      </c>
      <c r="J100" t="inlineStr">
        <is>
          <t>&gt;</t>
        </is>
      </c>
      <c r="K100" t="n">
        <v>18</v>
      </c>
      <c r="L100" t="n">
        <v>1</v>
      </c>
      <c r="M10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0" t="inlineStr">
        <is>
          <t>PNC_Q_SORTER-02_POWER SUPPLY UNIT FAILURE IN1.CC1 [ =S1+IN1.CC1-T30001 ]</t>
        </is>
      </c>
      <c r="P100" t="inlineStr">
        <is>
          <t>"POWER SUPPLY UNIT FAILURE IN1.CC1 [ =S1+IN1.CC1-T30001 ]"</t>
        </is>
      </c>
    </row>
    <row r="101">
      <c r="A101" t="inlineStr">
        <is>
          <t>W</t>
        </is>
      </c>
      <c r="B101" t="inlineStr">
        <is>
          <t>CIRCUIT BREAKER TRIPPED POWER SUPPLY 24V SAFETY AND I/O  IN1.CC1 [ =S1+IN1.CC1-F30102 ]</t>
        </is>
      </c>
      <c r="C101" t="inlineStr">
        <is>
          <t>=S1</t>
        </is>
      </c>
      <c r="D101" t="inlineStr">
        <is>
          <t>+IN1.CC1</t>
        </is>
      </c>
      <c r="E101" t="inlineStr">
        <is>
          <t>-F30102</t>
        </is>
      </c>
      <c r="F101" t="inlineStr">
        <is>
          <t>002</t>
        </is>
      </c>
      <c r="H101" t="inlineStr">
        <is>
          <t>02</t>
        </is>
      </c>
      <c r="I101" t="inlineStr">
        <is>
          <t>BOOL</t>
        </is>
      </c>
      <c r="J101" t="inlineStr">
        <is>
          <t>&gt;</t>
        </is>
      </c>
      <c r="K101" t="n">
        <v>18</v>
      </c>
      <c r="L101" t="n">
        <v>2</v>
      </c>
      <c r="M10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1" t="inlineStr">
        <is>
          <t>PNC_Q_SORTER-02_CIRCUIT BREAKER TRIPPED POWER SUPPLY 24V SAFETY AND I/O  IN1.CC1 [ =S1+IN1.CC1-F30102 ]</t>
        </is>
      </c>
      <c r="P101" t="inlineStr">
        <is>
          <t>"CIRCUIT BREAKER TRIPPED POWER SUPPLY 24V SAFETY AND I/O  IN1.CC1 [ =S1+IN1.CC1-F30102 ]"</t>
        </is>
      </c>
    </row>
    <row r="102">
      <c r="A102" t="inlineStr">
        <is>
          <t>W</t>
        </is>
      </c>
      <c r="B102" t="inlineStr">
        <is>
          <t>CIRCUIT BREAKER TRIPPED POWER SUPPLY 24V SWITCH IN1.CC1 [ =S1+IN1.CC1-F30101 ]</t>
        </is>
      </c>
      <c r="C102" t="inlineStr">
        <is>
          <t>=S1</t>
        </is>
      </c>
      <c r="D102" t="inlineStr">
        <is>
          <t>+IN1.CC1</t>
        </is>
      </c>
      <c r="E102" t="inlineStr">
        <is>
          <t>-F30101</t>
        </is>
      </c>
      <c r="F102" t="inlineStr">
        <is>
          <t>002</t>
        </is>
      </c>
      <c r="H102" t="inlineStr">
        <is>
          <t>03</t>
        </is>
      </c>
      <c r="I102" t="inlineStr">
        <is>
          <t>BOOL</t>
        </is>
      </c>
      <c r="J102" t="inlineStr">
        <is>
          <t>&gt;</t>
        </is>
      </c>
      <c r="K102" t="n">
        <v>18</v>
      </c>
      <c r="L102" t="n">
        <v>3</v>
      </c>
      <c r="M10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2" t="inlineStr">
        <is>
          <t>PNC_Q_SORTER-02_CIRCUIT BREAKER TRIPPED POWER SUPPLY 24V SWITCH IN1.CC1 [ =S1+IN1.CC1-F30101 ]</t>
        </is>
      </c>
      <c r="P102" t="inlineStr">
        <is>
          <t>"CIRCUIT BREAKER TRIPPED POWER SUPPLY 24V SWITCH IN1.CC1 [ =S1+IN1.CC1-F30101 ]"</t>
        </is>
      </c>
    </row>
    <row r="103">
      <c r="A103" t="inlineStr">
        <is>
          <t>W</t>
        </is>
      </c>
      <c r="B103" t="inlineStr">
        <is>
          <t>PROFINET SWITCH FAULT  [ =S1+IN1.CC1-K60001 ]</t>
        </is>
      </c>
      <c r="C103" t="inlineStr">
        <is>
          <t>=S1</t>
        </is>
      </c>
      <c r="D103" t="inlineStr">
        <is>
          <t>+IN1.CC1</t>
        </is>
      </c>
      <c r="E103" t="inlineStr">
        <is>
          <t>-K60001</t>
        </is>
      </c>
      <c r="F103" t="inlineStr">
        <is>
          <t>002</t>
        </is>
      </c>
      <c r="H103" t="inlineStr">
        <is>
          <t>04</t>
        </is>
      </c>
      <c r="I103" t="inlineStr">
        <is>
          <t>BOOL</t>
        </is>
      </c>
      <c r="J103" t="inlineStr">
        <is>
          <t>&gt;</t>
        </is>
      </c>
      <c r="K103" t="n">
        <v>18</v>
      </c>
      <c r="L103" t="n">
        <v>4</v>
      </c>
      <c r="M10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3" t="inlineStr">
        <is>
          <t>PNC_Q_SORTER-02_PROFINET SWITCH FAULT  [ =S1+IN1.CC1-K60001 ]</t>
        </is>
      </c>
      <c r="P103" t="inlineStr">
        <is>
          <t>"PROFINET SWITCH FAULT  [ =S1+IN1.CC1-K60001 ]"</t>
        </is>
      </c>
    </row>
    <row r="104">
      <c r="A104" t="inlineStr">
        <is>
          <t>W</t>
        </is>
      </c>
      <c r="B104" t="inlineStr">
        <is>
          <t>CIRCUIT BREAKER TRIPPED POWER INFEED 400V SAFETY IN1.CC1 [ =S2+IN3.CC1-F30001 ]</t>
        </is>
      </c>
      <c r="C104" t="inlineStr">
        <is>
          <t>=S2</t>
        </is>
      </c>
      <c r="D104" t="inlineStr">
        <is>
          <t>+IN3.CC1</t>
        </is>
      </c>
      <c r="E104" t="inlineStr">
        <is>
          <t>-F30001</t>
        </is>
      </c>
      <c r="F104" t="inlineStr">
        <is>
          <t>006</t>
        </is>
      </c>
      <c r="H104" t="inlineStr">
        <is>
          <t>00</t>
        </is>
      </c>
      <c r="I104" t="inlineStr">
        <is>
          <t>BOOL</t>
        </is>
      </c>
      <c r="J104" t="inlineStr">
        <is>
          <t>&gt;</t>
        </is>
      </c>
      <c r="K104" t="n">
        <v>18</v>
      </c>
      <c r="L104" t="n">
        <v>5</v>
      </c>
      <c r="M10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4" t="inlineStr">
        <is>
          <t>PNC_Q_SORTER-02_CIRCUIT BREAKER TRIPPED POWER INFEED 400V SAFETY IN1.CC1 [ =S2+IN3.CC1-F30001 ]</t>
        </is>
      </c>
      <c r="P104" t="inlineStr">
        <is>
          <t>"CIRCUIT BREAKER TRIPPED POWER INFEED 400V SAFETY IN1.CC1 [ =S2+IN3.CC1-F30001 ]"</t>
        </is>
      </c>
    </row>
    <row r="105">
      <c r="A105" t="inlineStr">
        <is>
          <t>W</t>
        </is>
      </c>
      <c r="B105" t="inlineStr">
        <is>
          <t>POWER SUPPLY UNIT FAILURE IN1.CC1 [ =S2+IN3.CC1-T30001 ]</t>
        </is>
      </c>
      <c r="C105" t="inlineStr">
        <is>
          <t>=S2</t>
        </is>
      </c>
      <c r="D105" t="inlineStr">
        <is>
          <t>+IN3.CC1</t>
        </is>
      </c>
      <c r="E105" t="inlineStr">
        <is>
          <t>-T30001</t>
        </is>
      </c>
      <c r="F105" t="inlineStr">
        <is>
          <t>006</t>
        </is>
      </c>
      <c r="H105" t="inlineStr">
        <is>
          <t>01</t>
        </is>
      </c>
      <c r="I105" t="inlineStr">
        <is>
          <t>BOOL</t>
        </is>
      </c>
      <c r="J105" t="inlineStr">
        <is>
          <t>&gt;</t>
        </is>
      </c>
      <c r="K105" t="n">
        <v>18</v>
      </c>
      <c r="L105" t="n">
        <v>6</v>
      </c>
      <c r="M10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5" t="inlineStr">
        <is>
          <t>PNC_Q_SORTER-02_POWER SUPPLY UNIT FAILURE IN1.CC1 [ =S2+IN3.CC1-T30001 ]</t>
        </is>
      </c>
      <c r="P105" t="inlineStr">
        <is>
          <t>"POWER SUPPLY UNIT FAILURE IN1.CC1 [ =S2+IN3.CC1-T30001 ]"</t>
        </is>
      </c>
    </row>
    <row r="106">
      <c r="A106" t="inlineStr">
        <is>
          <t>W</t>
        </is>
      </c>
      <c r="B106" t="inlineStr">
        <is>
          <t>CIRCUIT BREAKER TRIPPED POWER SUPPLY 24V SAFETY AND I/O  IN1.CC1 [ =S2+IN3.CC1-F30102 ]</t>
        </is>
      </c>
      <c r="C106" t="inlineStr">
        <is>
          <t>=S2</t>
        </is>
      </c>
      <c r="D106" t="inlineStr">
        <is>
          <t>+IN3.CC1</t>
        </is>
      </c>
      <c r="E106" t="inlineStr">
        <is>
          <t>-F30102</t>
        </is>
      </c>
      <c r="F106" t="inlineStr">
        <is>
          <t>006</t>
        </is>
      </c>
      <c r="H106" t="inlineStr">
        <is>
          <t>02</t>
        </is>
      </c>
      <c r="I106" t="inlineStr">
        <is>
          <t>BOOL</t>
        </is>
      </c>
      <c r="J106" t="inlineStr">
        <is>
          <t>&gt;</t>
        </is>
      </c>
      <c r="K106" t="n">
        <v>18</v>
      </c>
      <c r="L106" t="n">
        <v>7</v>
      </c>
      <c r="M10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6" t="inlineStr">
        <is>
          <t>PNC_Q_SORTER-02_CIRCUIT BREAKER TRIPPED POWER SUPPLY 24V SAFETY AND I/O  IN1.CC1 [ =S2+IN3.CC1-F30102 ]</t>
        </is>
      </c>
      <c r="P106" t="inlineStr">
        <is>
          <t>"CIRCUIT BREAKER TRIPPED POWER SUPPLY 24V SAFETY AND I/O  IN1.CC1 [ =S2+IN3.CC1-F30102 ]"</t>
        </is>
      </c>
    </row>
    <row r="107">
      <c r="A107" t="inlineStr">
        <is>
          <t>W</t>
        </is>
      </c>
      <c r="B107" t="inlineStr">
        <is>
          <t>CIRCUIT BREAKER TRIPPED POWER SUPPLY 24V SWITCH IN1.CC1 [ =S2+IN3.CC1-F30101 ]</t>
        </is>
      </c>
      <c r="C107" t="inlineStr">
        <is>
          <t>=S2</t>
        </is>
      </c>
      <c r="D107" t="inlineStr">
        <is>
          <t>+IN3.CC1</t>
        </is>
      </c>
      <c r="E107" t="inlineStr">
        <is>
          <t>-F30101</t>
        </is>
      </c>
      <c r="F107" t="inlineStr">
        <is>
          <t>006</t>
        </is>
      </c>
      <c r="H107" t="inlineStr">
        <is>
          <t>03</t>
        </is>
      </c>
      <c r="I107" t="inlineStr">
        <is>
          <t>BOOL</t>
        </is>
      </c>
      <c r="J107" t="inlineStr">
        <is>
          <t>&gt;</t>
        </is>
      </c>
      <c r="K107" t="n">
        <v>19</v>
      </c>
      <c r="L107" t="n">
        <v>0</v>
      </c>
      <c r="M10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7" t="inlineStr">
        <is>
          <t>PNC_Q_SORTER-02_CIRCUIT BREAKER TRIPPED POWER SUPPLY 24V SWITCH IN1.CC1 [ =S2+IN3.CC1-F30101 ]</t>
        </is>
      </c>
      <c r="P107" t="inlineStr">
        <is>
          <t>"CIRCUIT BREAKER TRIPPED POWER SUPPLY 24V SWITCH IN1.CC1 [ =S2+IN3.CC1-F30101 ]"</t>
        </is>
      </c>
    </row>
    <row r="108">
      <c r="A108" t="inlineStr">
        <is>
          <t>W</t>
        </is>
      </c>
      <c r="B108" t="inlineStr">
        <is>
          <t>PROFINET SWITCH FAULT  [ =S2+IN3.CC1-K60001 ]</t>
        </is>
      </c>
      <c r="C108" t="inlineStr">
        <is>
          <t>=S2</t>
        </is>
      </c>
      <c r="D108" t="inlineStr">
        <is>
          <t>+IN3.CC1</t>
        </is>
      </c>
      <c r="E108" t="inlineStr">
        <is>
          <t>-K60001</t>
        </is>
      </c>
      <c r="F108" t="inlineStr">
        <is>
          <t>006</t>
        </is>
      </c>
      <c r="H108" t="inlineStr">
        <is>
          <t>04</t>
        </is>
      </c>
      <c r="I108" t="inlineStr">
        <is>
          <t>BOOL</t>
        </is>
      </c>
      <c r="J108" t="inlineStr">
        <is>
          <t>&gt;</t>
        </is>
      </c>
      <c r="K108" t="n">
        <v>19</v>
      </c>
      <c r="L108" t="n">
        <v>1</v>
      </c>
      <c r="M10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8" t="inlineStr">
        <is>
          <t>PNC_Q_SORTER-02_PROFINET SWITCH FAULT  [ =S2+IN3.CC1-K60001 ]</t>
        </is>
      </c>
      <c r="P108" t="inlineStr">
        <is>
          <t>"PROFINET SWITCH FAULT  [ =S2+IN3.CC1-K60001 ]"</t>
        </is>
      </c>
    </row>
    <row r="109">
      <c r="A109" t="inlineStr">
        <is>
          <t>W</t>
        </is>
      </c>
      <c r="B109" t="inlineStr"/>
      <c r="C109" t="inlineStr"/>
      <c r="D109" t="inlineStr"/>
      <c r="E109" t="inlineStr"/>
      <c r="I109" t="inlineStr">
        <is>
          <t>BOOL</t>
        </is>
      </c>
      <c r="J109" t="inlineStr">
        <is>
          <t>&gt;</t>
        </is>
      </c>
      <c r="K109" t="n">
        <v>19</v>
      </c>
      <c r="L109" t="n">
        <v>2</v>
      </c>
      <c r="M10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0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09" t="inlineStr"/>
      <c r="P109" t="inlineStr"/>
    </row>
    <row r="110">
      <c r="A110" t="inlineStr">
        <is>
          <t>W</t>
        </is>
      </c>
      <c r="B110" t="inlineStr"/>
      <c r="C110" t="inlineStr"/>
      <c r="D110" t="inlineStr"/>
      <c r="E110" t="inlineStr"/>
      <c r="I110" t="inlineStr">
        <is>
          <t>BOOL</t>
        </is>
      </c>
      <c r="J110" t="inlineStr">
        <is>
          <t>&gt;</t>
        </is>
      </c>
      <c r="K110" t="n">
        <v>19</v>
      </c>
      <c r="L110" t="n">
        <v>3</v>
      </c>
      <c r="M11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0" t="inlineStr"/>
      <c r="P110" t="inlineStr"/>
    </row>
    <row r="111">
      <c r="A111" t="inlineStr">
        <is>
          <t>W</t>
        </is>
      </c>
      <c r="B111" t="inlineStr"/>
      <c r="C111" t="inlineStr"/>
      <c r="D111" t="inlineStr"/>
      <c r="E111" t="inlineStr"/>
      <c r="I111" t="inlineStr">
        <is>
          <t>BOOL</t>
        </is>
      </c>
      <c r="J111" t="inlineStr">
        <is>
          <t>&gt;</t>
        </is>
      </c>
      <c r="K111" t="n">
        <v>19</v>
      </c>
      <c r="L111" t="n">
        <v>4</v>
      </c>
      <c r="M11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1" t="inlineStr"/>
      <c r="P111" t="inlineStr"/>
    </row>
    <row r="112">
      <c r="A112" t="inlineStr">
        <is>
          <t>W</t>
        </is>
      </c>
      <c r="B112" t="inlineStr"/>
      <c r="C112" t="inlineStr"/>
      <c r="D112" t="inlineStr"/>
      <c r="E112" t="inlineStr"/>
      <c r="I112" t="inlineStr">
        <is>
          <t>BOOL</t>
        </is>
      </c>
      <c r="J112" t="inlineStr">
        <is>
          <t>&gt;</t>
        </is>
      </c>
      <c r="K112" t="n">
        <v>19</v>
      </c>
      <c r="L112" t="n">
        <v>5</v>
      </c>
      <c r="M11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2" t="inlineStr"/>
      <c r="P112" t="inlineStr"/>
    </row>
    <row r="113">
      <c r="A113" t="inlineStr">
        <is>
          <t>W</t>
        </is>
      </c>
      <c r="B113" t="inlineStr"/>
      <c r="C113" t="inlineStr"/>
      <c r="D113" t="inlineStr"/>
      <c r="E113" t="inlineStr"/>
      <c r="I113" t="inlineStr">
        <is>
          <t>BOOL</t>
        </is>
      </c>
      <c r="J113" t="inlineStr">
        <is>
          <t>&gt;</t>
        </is>
      </c>
      <c r="K113" t="n">
        <v>19</v>
      </c>
      <c r="L113" t="n">
        <v>6</v>
      </c>
      <c r="M11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3" t="inlineStr"/>
      <c r="P113" t="inlineStr"/>
    </row>
    <row r="114">
      <c r="A114" t="inlineStr">
        <is>
          <t>W</t>
        </is>
      </c>
      <c r="B114" t="inlineStr"/>
      <c r="C114" t="inlineStr"/>
      <c r="D114" t="inlineStr"/>
      <c r="E114" t="inlineStr"/>
      <c r="I114" t="inlineStr">
        <is>
          <t>BOOL</t>
        </is>
      </c>
      <c r="J114" t="inlineStr">
        <is>
          <t>&gt;</t>
        </is>
      </c>
      <c r="K114" t="n">
        <v>19</v>
      </c>
      <c r="L114" t="n">
        <v>7</v>
      </c>
      <c r="M11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4" t="inlineStr"/>
      <c r="P114" t="inlineStr"/>
    </row>
    <row r="116">
      <c r="A116" t="inlineStr">
        <is>
          <t>Z1</t>
        </is>
      </c>
      <c r="B116" t="inlineStr">
        <is>
          <t>Emergency Status Feedback Area  [ =S1+MS1.CC1-Q66501 ]</t>
        </is>
      </c>
      <c r="C116" t="inlineStr">
        <is>
          <t>=S1</t>
        </is>
      </c>
      <c r="D116" t="inlineStr">
        <is>
          <t>+MS1.CC1</t>
        </is>
      </c>
      <c r="E116" t="inlineStr">
        <is>
          <t>-Q66501</t>
        </is>
      </c>
      <c r="F116" t="inlineStr">
        <is>
          <t>015</t>
        </is>
      </c>
      <c r="H116" t="inlineStr">
        <is>
          <t>01</t>
        </is>
      </c>
      <c r="I116" t="inlineStr">
        <is>
          <t>BOOL</t>
        </is>
      </c>
      <c r="J116" t="inlineStr">
        <is>
          <t>&gt;</t>
        </is>
      </c>
      <c r="K116" t="n">
        <v>20</v>
      </c>
      <c r="L116" t="n">
        <v>0</v>
      </c>
      <c r="M11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6" t="inlineStr">
        <is>
          <t>PNC_Q_SORTER-02_Emergency Status Feedback Area  [ =S1+MS1.CC1-Q66501 ]</t>
        </is>
      </c>
      <c r="P116" t="inlineStr">
        <is>
          <t>"Emergency Status Feedback Area  [ =S1+MS1.CC1-Q66501 ]"</t>
        </is>
      </c>
    </row>
    <row r="117">
      <c r="A117" t="inlineStr">
        <is>
          <t>Z1</t>
        </is>
      </c>
      <c r="B117" t="inlineStr"/>
      <c r="C117" t="inlineStr"/>
      <c r="D117" t="inlineStr"/>
      <c r="E117" t="inlineStr"/>
      <c r="I117" t="inlineStr">
        <is>
          <t>BOOL</t>
        </is>
      </c>
      <c r="J117" t="inlineStr">
        <is>
          <t>&gt;</t>
        </is>
      </c>
      <c r="K117" t="n">
        <v>20</v>
      </c>
      <c r="L117" t="n">
        <v>1</v>
      </c>
      <c r="M11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7" t="inlineStr"/>
      <c r="P117" t="inlineStr"/>
    </row>
    <row r="118">
      <c r="A118" t="inlineStr">
        <is>
          <t>Z1</t>
        </is>
      </c>
      <c r="B118" t="inlineStr"/>
      <c r="C118" t="inlineStr"/>
      <c r="D118" t="inlineStr"/>
      <c r="E118" t="inlineStr"/>
      <c r="I118" t="inlineStr">
        <is>
          <t>BOOL</t>
        </is>
      </c>
      <c r="J118" t="inlineStr">
        <is>
          <t>&gt;</t>
        </is>
      </c>
      <c r="K118" t="n">
        <v>20</v>
      </c>
      <c r="L118" t="n">
        <v>2</v>
      </c>
      <c r="M11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8" t="inlineStr"/>
      <c r="P118" t="inlineStr"/>
    </row>
    <row r="119">
      <c r="A119" t="inlineStr">
        <is>
          <t>Z1</t>
        </is>
      </c>
      <c r="B119" t="inlineStr"/>
      <c r="C119" t="inlineStr"/>
      <c r="D119" t="inlineStr"/>
      <c r="E119" t="inlineStr"/>
      <c r="I119" t="inlineStr">
        <is>
          <t>BOOL</t>
        </is>
      </c>
      <c r="J119" t="inlineStr">
        <is>
          <t>&gt;</t>
        </is>
      </c>
      <c r="K119" t="n">
        <v>20</v>
      </c>
      <c r="L119" t="n">
        <v>3</v>
      </c>
      <c r="M11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1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19" t="inlineStr"/>
      <c r="P119" t="inlineStr"/>
    </row>
    <row r="120">
      <c r="A120" t="inlineStr">
        <is>
          <t>Z1</t>
        </is>
      </c>
      <c r="B120" t="inlineStr"/>
      <c r="C120" t="inlineStr"/>
      <c r="D120" t="inlineStr"/>
      <c r="E120" t="inlineStr"/>
      <c r="I120" t="inlineStr">
        <is>
          <t>BOOL</t>
        </is>
      </c>
      <c r="J120" t="inlineStr">
        <is>
          <t>&gt;</t>
        </is>
      </c>
      <c r="K120" t="n">
        <v>20</v>
      </c>
      <c r="L120" t="n">
        <v>4</v>
      </c>
      <c r="M12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0" t="inlineStr"/>
      <c r="P120" t="inlineStr"/>
    </row>
    <row r="121">
      <c r="A121" t="inlineStr">
        <is>
          <t>Z1</t>
        </is>
      </c>
      <c r="B121" t="inlineStr"/>
      <c r="C121" t="inlineStr"/>
      <c r="D121" t="inlineStr"/>
      <c r="E121" t="inlineStr"/>
      <c r="I121" t="inlineStr">
        <is>
          <t>BOOL</t>
        </is>
      </c>
      <c r="J121" t="inlineStr">
        <is>
          <t>&gt;</t>
        </is>
      </c>
      <c r="K121" t="n">
        <v>20</v>
      </c>
      <c r="L121" t="n">
        <v>5</v>
      </c>
      <c r="M12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1" t="inlineStr"/>
      <c r="P121" t="inlineStr"/>
    </row>
    <row r="122">
      <c r="A122" t="inlineStr">
        <is>
          <t>Z1</t>
        </is>
      </c>
      <c r="B122" t="inlineStr"/>
      <c r="C122" t="inlineStr"/>
      <c r="D122" t="inlineStr"/>
      <c r="E122" t="inlineStr"/>
      <c r="I122" t="inlineStr">
        <is>
          <t>BOOL</t>
        </is>
      </c>
      <c r="J122" t="inlineStr">
        <is>
          <t>&gt;</t>
        </is>
      </c>
      <c r="K122" t="n">
        <v>20</v>
      </c>
      <c r="L122" t="n">
        <v>6</v>
      </c>
      <c r="M12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2" t="inlineStr"/>
      <c r="P122" t="inlineStr"/>
    </row>
    <row r="123">
      <c r="A123" t="inlineStr">
        <is>
          <t>Z1</t>
        </is>
      </c>
      <c r="B123" t="inlineStr"/>
      <c r="C123" t="inlineStr"/>
      <c r="D123" t="inlineStr"/>
      <c r="E123" t="inlineStr"/>
      <c r="I123" t="inlineStr">
        <is>
          <t>BOOL</t>
        </is>
      </c>
      <c r="J123" t="inlineStr">
        <is>
          <t>&gt;</t>
        </is>
      </c>
      <c r="K123" t="n">
        <v>20</v>
      </c>
      <c r="L123" t="n">
        <v>7</v>
      </c>
      <c r="M12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3" t="inlineStr"/>
      <c r="P123" t="inlineStr"/>
    </row>
    <row r="124">
      <c r="A124" t="inlineStr">
        <is>
          <t>Z1</t>
        </is>
      </c>
      <c r="B124" t="inlineStr"/>
      <c r="C124" t="inlineStr"/>
      <c r="D124" t="inlineStr"/>
      <c r="E124" t="inlineStr"/>
      <c r="I124" t="inlineStr">
        <is>
          <t>BOOL</t>
        </is>
      </c>
      <c r="J124" t="inlineStr">
        <is>
          <t>&gt;</t>
        </is>
      </c>
      <c r="K124" t="n">
        <v>21</v>
      </c>
      <c r="L124" t="n">
        <v>0</v>
      </c>
      <c r="M12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4" t="inlineStr"/>
      <c r="P124" t="inlineStr"/>
    </row>
    <row r="125">
      <c r="A125" t="inlineStr">
        <is>
          <t>Z1</t>
        </is>
      </c>
      <c r="B125" t="inlineStr"/>
      <c r="C125" t="inlineStr"/>
      <c r="D125" t="inlineStr"/>
      <c r="E125" t="inlineStr"/>
      <c r="I125" t="inlineStr">
        <is>
          <t>BOOL</t>
        </is>
      </c>
      <c r="J125" t="inlineStr">
        <is>
          <t>&gt;</t>
        </is>
      </c>
      <c r="K125" t="n">
        <v>21</v>
      </c>
      <c r="L125" t="n">
        <v>1</v>
      </c>
      <c r="M12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5" t="inlineStr"/>
      <c r="P125" t="inlineStr"/>
    </row>
    <row r="126">
      <c r="A126" t="inlineStr">
        <is>
          <t>Z1</t>
        </is>
      </c>
      <c r="B126" t="inlineStr"/>
      <c r="C126" t="inlineStr"/>
      <c r="D126" t="inlineStr"/>
      <c r="E126" t="inlineStr"/>
      <c r="I126" t="inlineStr">
        <is>
          <t>BOOL</t>
        </is>
      </c>
      <c r="J126" t="inlineStr">
        <is>
          <t>&gt;</t>
        </is>
      </c>
      <c r="K126" t="n">
        <v>21</v>
      </c>
      <c r="L126" t="n">
        <v>2</v>
      </c>
      <c r="M12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6" t="inlineStr"/>
      <c r="P126" t="inlineStr"/>
    </row>
    <row r="127">
      <c r="A127" t="inlineStr">
        <is>
          <t>Z1</t>
        </is>
      </c>
      <c r="B127" t="inlineStr"/>
      <c r="C127" t="inlineStr"/>
      <c r="D127" t="inlineStr"/>
      <c r="E127" t="inlineStr"/>
      <c r="I127" t="inlineStr">
        <is>
          <t>BOOL</t>
        </is>
      </c>
      <c r="J127" t="inlineStr">
        <is>
          <t>&gt;</t>
        </is>
      </c>
      <c r="K127" t="n">
        <v>21</v>
      </c>
      <c r="L127" t="n">
        <v>3</v>
      </c>
      <c r="M12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7" t="inlineStr"/>
      <c r="P127" t="inlineStr"/>
    </row>
    <row r="128">
      <c r="A128" t="inlineStr">
        <is>
          <t>Z1</t>
        </is>
      </c>
      <c r="B128" t="inlineStr"/>
      <c r="C128" t="inlineStr"/>
      <c r="D128" t="inlineStr"/>
      <c r="E128" t="inlineStr"/>
      <c r="I128" t="inlineStr">
        <is>
          <t>BOOL</t>
        </is>
      </c>
      <c r="J128" t="inlineStr">
        <is>
          <t>&gt;</t>
        </is>
      </c>
      <c r="K128" t="n">
        <v>21</v>
      </c>
      <c r="L128" t="n">
        <v>4</v>
      </c>
      <c r="M12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8" t="inlineStr"/>
      <c r="P128" t="inlineStr"/>
    </row>
    <row r="129">
      <c r="A129" t="inlineStr">
        <is>
          <t>Z1</t>
        </is>
      </c>
      <c r="B129" t="inlineStr"/>
      <c r="C129" t="inlineStr"/>
      <c r="D129" t="inlineStr"/>
      <c r="E129" t="inlineStr"/>
      <c r="I129" t="inlineStr">
        <is>
          <t>BOOL</t>
        </is>
      </c>
      <c r="J129" t="inlineStr">
        <is>
          <t>&gt;</t>
        </is>
      </c>
      <c r="K129" t="n">
        <v>21</v>
      </c>
      <c r="L129" t="n">
        <v>5</v>
      </c>
      <c r="M12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2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29" t="inlineStr"/>
      <c r="P129" t="inlineStr"/>
    </row>
    <row r="130">
      <c r="A130" t="inlineStr">
        <is>
          <t>Z1</t>
        </is>
      </c>
      <c r="B130" t="inlineStr"/>
      <c r="C130" t="inlineStr"/>
      <c r="D130" t="inlineStr"/>
      <c r="E130" t="inlineStr"/>
      <c r="I130" t="inlineStr">
        <is>
          <t>BOOL</t>
        </is>
      </c>
      <c r="J130" t="inlineStr">
        <is>
          <t>&gt;</t>
        </is>
      </c>
      <c r="K130" t="n">
        <v>21</v>
      </c>
      <c r="L130" t="n">
        <v>6</v>
      </c>
      <c r="M13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0" t="inlineStr"/>
      <c r="P130" t="inlineStr"/>
    </row>
    <row r="131">
      <c r="A131" t="inlineStr">
        <is>
          <t>Z1</t>
        </is>
      </c>
      <c r="B131" t="inlineStr"/>
      <c r="C131" t="inlineStr"/>
      <c r="D131" t="inlineStr"/>
      <c r="E131" t="inlineStr"/>
      <c r="I131" t="inlineStr">
        <is>
          <t>BOOL</t>
        </is>
      </c>
      <c r="J131" t="inlineStr">
        <is>
          <t>&gt;</t>
        </is>
      </c>
      <c r="K131" t="n">
        <v>21</v>
      </c>
      <c r="L131" t="n">
        <v>7</v>
      </c>
      <c r="M13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1" t="inlineStr"/>
      <c r="P131" t="inlineStr"/>
    </row>
    <row r="133">
      <c r="A133" t="inlineStr">
        <is>
          <t>Z2</t>
        </is>
      </c>
      <c r="B133" t="inlineStr">
        <is>
          <t>Emergency Status Feedback Area  [ =S1+MS1.CC1-Q66502 ]</t>
        </is>
      </c>
      <c r="C133" t="inlineStr">
        <is>
          <t>=S1</t>
        </is>
      </c>
      <c r="D133" t="inlineStr">
        <is>
          <t>+MS1.CC1</t>
        </is>
      </c>
      <c r="E133" t="inlineStr">
        <is>
          <t>-Q66502</t>
        </is>
      </c>
      <c r="F133" t="inlineStr">
        <is>
          <t>015</t>
        </is>
      </c>
      <c r="H133" t="inlineStr">
        <is>
          <t>02</t>
        </is>
      </c>
      <c r="I133" t="inlineStr">
        <is>
          <t>BOOL</t>
        </is>
      </c>
      <c r="J133" t="inlineStr">
        <is>
          <t>&gt;</t>
        </is>
      </c>
      <c r="K133" t="n">
        <v>22</v>
      </c>
      <c r="L133" t="n">
        <v>0</v>
      </c>
      <c r="M13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3" t="inlineStr">
        <is>
          <t>PNC_Q_SORTER-02_Emergency Status Feedback Area  [ =S1+MS1.CC1-Q66502 ]</t>
        </is>
      </c>
      <c r="P133" t="inlineStr">
        <is>
          <t>"Emergency Status Feedback Area  [ =S1+MS1.CC1-Q66502 ]"</t>
        </is>
      </c>
    </row>
    <row r="134">
      <c r="A134" t="inlineStr">
        <is>
          <t>Z2</t>
        </is>
      </c>
      <c r="B134" t="inlineStr"/>
      <c r="C134" t="inlineStr"/>
      <c r="D134" t="inlineStr"/>
      <c r="E134" t="inlineStr"/>
      <c r="I134" t="inlineStr">
        <is>
          <t>BOOL</t>
        </is>
      </c>
      <c r="J134" t="inlineStr">
        <is>
          <t>&gt;</t>
        </is>
      </c>
      <c r="K134" t="n">
        <v>22</v>
      </c>
      <c r="L134" t="n">
        <v>1</v>
      </c>
      <c r="M13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4" t="inlineStr"/>
      <c r="P134" t="inlineStr"/>
    </row>
    <row r="135">
      <c r="A135" t="inlineStr">
        <is>
          <t>Z2</t>
        </is>
      </c>
      <c r="B135" t="inlineStr"/>
      <c r="C135" t="inlineStr"/>
      <c r="D135" t="inlineStr"/>
      <c r="E135" t="inlineStr"/>
      <c r="I135" t="inlineStr">
        <is>
          <t>BOOL</t>
        </is>
      </c>
      <c r="J135" t="inlineStr">
        <is>
          <t>&gt;</t>
        </is>
      </c>
      <c r="K135" t="n">
        <v>22</v>
      </c>
      <c r="L135" t="n">
        <v>2</v>
      </c>
      <c r="M13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5" t="inlineStr"/>
      <c r="P135" t="inlineStr"/>
    </row>
    <row r="136">
      <c r="A136" t="inlineStr">
        <is>
          <t>Z2</t>
        </is>
      </c>
      <c r="B136" t="inlineStr"/>
      <c r="C136" t="inlineStr"/>
      <c r="D136" t="inlineStr"/>
      <c r="E136" t="inlineStr"/>
      <c r="I136" t="inlineStr">
        <is>
          <t>BOOL</t>
        </is>
      </c>
      <c r="J136" t="inlineStr">
        <is>
          <t>&gt;</t>
        </is>
      </c>
      <c r="K136" t="n">
        <v>22</v>
      </c>
      <c r="L136" t="n">
        <v>3</v>
      </c>
      <c r="M13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6" t="inlineStr"/>
      <c r="P136" t="inlineStr"/>
    </row>
    <row r="137">
      <c r="A137" t="inlineStr">
        <is>
          <t>Z2</t>
        </is>
      </c>
      <c r="B137" t="inlineStr"/>
      <c r="C137" t="inlineStr"/>
      <c r="D137" t="inlineStr"/>
      <c r="E137" t="inlineStr"/>
      <c r="I137" t="inlineStr">
        <is>
          <t>BOOL</t>
        </is>
      </c>
      <c r="J137" t="inlineStr">
        <is>
          <t>&gt;</t>
        </is>
      </c>
      <c r="K137" t="n">
        <v>22</v>
      </c>
      <c r="L137" t="n">
        <v>4</v>
      </c>
      <c r="M13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7" t="inlineStr"/>
      <c r="P137" t="inlineStr"/>
    </row>
    <row r="138">
      <c r="A138" t="inlineStr">
        <is>
          <t>Z2</t>
        </is>
      </c>
      <c r="B138" t="inlineStr"/>
      <c r="C138" t="inlineStr"/>
      <c r="D138" t="inlineStr"/>
      <c r="E138" t="inlineStr"/>
      <c r="I138" t="inlineStr">
        <is>
          <t>BOOL</t>
        </is>
      </c>
      <c r="J138" t="inlineStr">
        <is>
          <t>&gt;</t>
        </is>
      </c>
      <c r="K138" t="n">
        <v>22</v>
      </c>
      <c r="L138" t="n">
        <v>5</v>
      </c>
      <c r="M13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8" t="inlineStr"/>
      <c r="P138" t="inlineStr"/>
    </row>
    <row r="139">
      <c r="A139" t="inlineStr">
        <is>
          <t>Z2</t>
        </is>
      </c>
      <c r="B139" t="inlineStr"/>
      <c r="C139" t="inlineStr"/>
      <c r="D139" t="inlineStr"/>
      <c r="E139" t="inlineStr"/>
      <c r="I139" t="inlineStr">
        <is>
          <t>BOOL</t>
        </is>
      </c>
      <c r="J139" t="inlineStr">
        <is>
          <t>&gt;</t>
        </is>
      </c>
      <c r="K139" t="n">
        <v>22</v>
      </c>
      <c r="L139" t="n">
        <v>6</v>
      </c>
      <c r="M13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3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39" t="inlineStr"/>
      <c r="P139" t="inlineStr"/>
    </row>
    <row r="140">
      <c r="A140" t="inlineStr">
        <is>
          <t>Z2</t>
        </is>
      </c>
      <c r="B140" t="inlineStr"/>
      <c r="C140" t="inlineStr"/>
      <c r="D140" t="inlineStr"/>
      <c r="E140" t="inlineStr"/>
      <c r="I140" t="inlineStr">
        <is>
          <t>BOOL</t>
        </is>
      </c>
      <c r="J140" t="inlineStr">
        <is>
          <t>&gt;</t>
        </is>
      </c>
      <c r="K140" t="n">
        <v>22</v>
      </c>
      <c r="L140" t="n">
        <v>7</v>
      </c>
      <c r="M14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0" t="inlineStr"/>
      <c r="P140" t="inlineStr"/>
    </row>
    <row r="141">
      <c r="A141" t="inlineStr">
        <is>
          <t>Z2</t>
        </is>
      </c>
      <c r="B141" t="inlineStr"/>
      <c r="C141" t="inlineStr"/>
      <c r="D141" t="inlineStr"/>
      <c r="E141" t="inlineStr"/>
      <c r="I141" t="inlineStr">
        <is>
          <t>BOOL</t>
        </is>
      </c>
      <c r="J141" t="inlineStr">
        <is>
          <t>&gt;</t>
        </is>
      </c>
      <c r="K141" t="n">
        <v>23</v>
      </c>
      <c r="L141" t="n">
        <v>0</v>
      </c>
      <c r="M14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1" t="inlineStr"/>
      <c r="P141" t="inlineStr"/>
    </row>
    <row r="142">
      <c r="A142" t="inlineStr">
        <is>
          <t>Z2</t>
        </is>
      </c>
      <c r="B142" t="inlineStr"/>
      <c r="C142" t="inlineStr"/>
      <c r="D142" t="inlineStr"/>
      <c r="E142" t="inlineStr"/>
      <c r="I142" t="inlineStr">
        <is>
          <t>BOOL</t>
        </is>
      </c>
      <c r="J142" t="inlineStr">
        <is>
          <t>&gt;</t>
        </is>
      </c>
      <c r="K142" t="n">
        <v>23</v>
      </c>
      <c r="L142" t="n">
        <v>1</v>
      </c>
      <c r="M14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2" t="inlineStr"/>
      <c r="P142" t="inlineStr"/>
    </row>
    <row r="143">
      <c r="A143" t="inlineStr">
        <is>
          <t>Z2</t>
        </is>
      </c>
      <c r="B143" t="inlineStr"/>
      <c r="C143" t="inlineStr"/>
      <c r="D143" t="inlineStr"/>
      <c r="E143" t="inlineStr"/>
      <c r="I143" t="inlineStr">
        <is>
          <t>BOOL</t>
        </is>
      </c>
      <c r="J143" t="inlineStr">
        <is>
          <t>&gt;</t>
        </is>
      </c>
      <c r="K143" t="n">
        <v>23</v>
      </c>
      <c r="L143" t="n">
        <v>2</v>
      </c>
      <c r="M14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3" t="inlineStr"/>
      <c r="P143" t="inlineStr"/>
    </row>
    <row r="144">
      <c r="A144" t="inlineStr">
        <is>
          <t>Z2</t>
        </is>
      </c>
      <c r="B144" t="inlineStr"/>
      <c r="C144" t="inlineStr"/>
      <c r="D144" t="inlineStr"/>
      <c r="E144" t="inlineStr"/>
      <c r="I144" t="inlineStr">
        <is>
          <t>BOOL</t>
        </is>
      </c>
      <c r="J144" t="inlineStr">
        <is>
          <t>&gt;</t>
        </is>
      </c>
      <c r="K144" t="n">
        <v>23</v>
      </c>
      <c r="L144" t="n">
        <v>3</v>
      </c>
      <c r="M14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4" t="inlineStr"/>
      <c r="P144" t="inlineStr"/>
    </row>
    <row r="145">
      <c r="A145" t="inlineStr">
        <is>
          <t>Z2</t>
        </is>
      </c>
      <c r="B145" t="inlineStr"/>
      <c r="C145" t="inlineStr"/>
      <c r="D145" t="inlineStr"/>
      <c r="E145" t="inlineStr"/>
      <c r="I145" t="inlineStr">
        <is>
          <t>BOOL</t>
        </is>
      </c>
      <c r="J145" t="inlineStr">
        <is>
          <t>&gt;</t>
        </is>
      </c>
      <c r="K145" t="n">
        <v>23</v>
      </c>
      <c r="L145" t="n">
        <v>4</v>
      </c>
      <c r="M14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5" t="inlineStr"/>
      <c r="P145" t="inlineStr"/>
    </row>
    <row r="146">
      <c r="A146" t="inlineStr">
        <is>
          <t>Z2</t>
        </is>
      </c>
      <c r="B146" t="inlineStr"/>
      <c r="C146" t="inlineStr"/>
      <c r="D146" t="inlineStr"/>
      <c r="E146" t="inlineStr"/>
      <c r="I146" t="inlineStr">
        <is>
          <t>BOOL</t>
        </is>
      </c>
      <c r="J146" t="inlineStr">
        <is>
          <t>&gt;</t>
        </is>
      </c>
      <c r="K146" t="n">
        <v>23</v>
      </c>
      <c r="L146" t="n">
        <v>5</v>
      </c>
      <c r="M14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6" t="inlineStr"/>
      <c r="P146" t="inlineStr"/>
    </row>
    <row r="147">
      <c r="A147" t="inlineStr">
        <is>
          <t>Z2</t>
        </is>
      </c>
      <c r="B147" t="inlineStr"/>
      <c r="C147" t="inlineStr"/>
      <c r="D147" t="inlineStr"/>
      <c r="E147" t="inlineStr"/>
      <c r="I147" t="inlineStr">
        <is>
          <t>BOOL</t>
        </is>
      </c>
      <c r="J147" t="inlineStr">
        <is>
          <t>&gt;</t>
        </is>
      </c>
      <c r="K147" t="n">
        <v>23</v>
      </c>
      <c r="L147" t="n">
        <v>6</v>
      </c>
      <c r="M14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7" t="inlineStr"/>
      <c r="P147" t="inlineStr"/>
    </row>
    <row r="148">
      <c r="A148" t="inlineStr">
        <is>
          <t>Z2</t>
        </is>
      </c>
      <c r="B148" t="inlineStr"/>
      <c r="C148" t="inlineStr"/>
      <c r="D148" t="inlineStr"/>
      <c r="E148" t="inlineStr"/>
      <c r="I148" t="inlineStr">
        <is>
          <t>BOOL</t>
        </is>
      </c>
      <c r="J148" t="inlineStr">
        <is>
          <t>&gt;</t>
        </is>
      </c>
      <c r="K148" t="n">
        <v>23</v>
      </c>
      <c r="L148" t="n">
        <v>7</v>
      </c>
      <c r="M14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4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48" t="inlineStr"/>
      <c r="P148" t="inlineStr"/>
    </row>
    <row r="150">
      <c r="A150" t="inlineStr">
        <is>
          <t>Z3</t>
        </is>
      </c>
      <c r="B150" t="inlineStr">
        <is>
          <t>Emergency Status Feedback Area  [ =S1+MS1.CC1-Q66503 ]</t>
        </is>
      </c>
      <c r="C150" t="inlineStr">
        <is>
          <t>=S1</t>
        </is>
      </c>
      <c r="D150" t="inlineStr">
        <is>
          <t>+MS1.CC1</t>
        </is>
      </c>
      <c r="E150" t="inlineStr">
        <is>
          <t>-Q66503</t>
        </is>
      </c>
      <c r="F150" t="inlineStr">
        <is>
          <t>015</t>
        </is>
      </c>
      <c r="H150" t="inlineStr">
        <is>
          <t>03</t>
        </is>
      </c>
      <c r="I150" t="inlineStr">
        <is>
          <t>BOOL</t>
        </is>
      </c>
      <c r="J150" t="inlineStr">
        <is>
          <t>&gt;</t>
        </is>
      </c>
      <c r="K150" t="n">
        <v>24</v>
      </c>
      <c r="L150" t="n">
        <v>0</v>
      </c>
      <c r="M15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0" t="inlineStr">
        <is>
          <t>PNC_Q_SORTER-02_Emergency Status Feedback Area  [ =S1+MS1.CC1-Q66503 ]</t>
        </is>
      </c>
      <c r="P150" t="inlineStr">
        <is>
          <t>"Emergency Status Feedback Area  [ =S1+MS1.CC1-Q66503 ]"</t>
        </is>
      </c>
    </row>
    <row r="151">
      <c r="A151" t="inlineStr">
        <is>
          <t>Z3</t>
        </is>
      </c>
      <c r="B151" t="inlineStr"/>
      <c r="C151" t="inlineStr"/>
      <c r="D151" t="inlineStr"/>
      <c r="E151" t="inlineStr"/>
      <c r="I151" t="inlineStr">
        <is>
          <t>BOOL</t>
        </is>
      </c>
      <c r="J151" t="inlineStr">
        <is>
          <t>&gt;</t>
        </is>
      </c>
      <c r="K151" t="n">
        <v>24</v>
      </c>
      <c r="L151" t="n">
        <v>1</v>
      </c>
      <c r="M15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1" t="inlineStr"/>
      <c r="P151" t="inlineStr"/>
    </row>
    <row r="152">
      <c r="A152" t="inlineStr">
        <is>
          <t>Z3</t>
        </is>
      </c>
      <c r="B152" t="inlineStr"/>
      <c r="C152" t="inlineStr"/>
      <c r="D152" t="inlineStr"/>
      <c r="E152" t="inlineStr"/>
      <c r="I152" t="inlineStr">
        <is>
          <t>BOOL</t>
        </is>
      </c>
      <c r="J152" t="inlineStr">
        <is>
          <t>&gt;</t>
        </is>
      </c>
      <c r="K152" t="n">
        <v>24</v>
      </c>
      <c r="L152" t="n">
        <v>2</v>
      </c>
      <c r="M15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2" t="inlineStr"/>
      <c r="P152" t="inlineStr"/>
    </row>
    <row r="153">
      <c r="A153" t="inlineStr">
        <is>
          <t>Z3</t>
        </is>
      </c>
      <c r="B153" t="inlineStr"/>
      <c r="C153" t="inlineStr"/>
      <c r="D153" t="inlineStr"/>
      <c r="E153" t="inlineStr"/>
      <c r="I153" t="inlineStr">
        <is>
          <t>BOOL</t>
        </is>
      </c>
      <c r="J153" t="inlineStr">
        <is>
          <t>&gt;</t>
        </is>
      </c>
      <c r="K153" t="n">
        <v>24</v>
      </c>
      <c r="L153" t="n">
        <v>3</v>
      </c>
      <c r="M15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3" t="inlineStr"/>
      <c r="P153" t="inlineStr"/>
    </row>
    <row r="154">
      <c r="A154" t="inlineStr">
        <is>
          <t>Z3</t>
        </is>
      </c>
      <c r="B154" t="inlineStr"/>
      <c r="C154" t="inlineStr"/>
      <c r="D154" t="inlineStr"/>
      <c r="E154" t="inlineStr"/>
      <c r="I154" t="inlineStr">
        <is>
          <t>BOOL</t>
        </is>
      </c>
      <c r="J154" t="inlineStr">
        <is>
          <t>&gt;</t>
        </is>
      </c>
      <c r="K154" t="n">
        <v>24</v>
      </c>
      <c r="L154" t="n">
        <v>4</v>
      </c>
      <c r="M15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4" t="inlineStr"/>
      <c r="P154" t="inlineStr"/>
    </row>
    <row r="155">
      <c r="A155" t="inlineStr">
        <is>
          <t>Z3</t>
        </is>
      </c>
      <c r="B155" t="inlineStr"/>
      <c r="C155" t="inlineStr"/>
      <c r="D155" t="inlineStr"/>
      <c r="E155" t="inlineStr"/>
      <c r="I155" t="inlineStr">
        <is>
          <t>BOOL</t>
        </is>
      </c>
      <c r="J155" t="inlineStr">
        <is>
          <t>&gt;</t>
        </is>
      </c>
      <c r="K155" t="n">
        <v>24</v>
      </c>
      <c r="L155" t="n">
        <v>5</v>
      </c>
      <c r="M15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5" t="inlineStr"/>
      <c r="P155" t="inlineStr"/>
    </row>
    <row r="156">
      <c r="A156" t="inlineStr">
        <is>
          <t>Z3</t>
        </is>
      </c>
      <c r="B156" t="inlineStr"/>
      <c r="C156" t="inlineStr"/>
      <c r="D156" t="inlineStr"/>
      <c r="E156" t="inlineStr"/>
      <c r="I156" t="inlineStr">
        <is>
          <t>BOOL</t>
        </is>
      </c>
      <c r="J156" t="inlineStr">
        <is>
          <t>&gt;</t>
        </is>
      </c>
      <c r="K156" t="n">
        <v>24</v>
      </c>
      <c r="L156" t="n">
        <v>6</v>
      </c>
      <c r="M15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6" t="inlineStr"/>
      <c r="P156" t="inlineStr"/>
    </row>
    <row r="157">
      <c r="A157" t="inlineStr">
        <is>
          <t>Z3</t>
        </is>
      </c>
      <c r="B157" t="inlineStr"/>
      <c r="C157" t="inlineStr"/>
      <c r="D157" t="inlineStr"/>
      <c r="E157" t="inlineStr"/>
      <c r="I157" t="inlineStr">
        <is>
          <t>BOOL</t>
        </is>
      </c>
      <c r="J157" t="inlineStr">
        <is>
          <t>&gt;</t>
        </is>
      </c>
      <c r="K157" t="n">
        <v>24</v>
      </c>
      <c r="L157" t="n">
        <v>7</v>
      </c>
      <c r="M15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7" t="inlineStr"/>
      <c r="P157" t="inlineStr"/>
    </row>
    <row r="158">
      <c r="A158" t="inlineStr">
        <is>
          <t>Z3</t>
        </is>
      </c>
      <c r="B158" t="inlineStr"/>
      <c r="C158" t="inlineStr"/>
      <c r="D158" t="inlineStr"/>
      <c r="E158" t="inlineStr"/>
      <c r="I158" t="inlineStr">
        <is>
          <t>BOOL</t>
        </is>
      </c>
      <c r="J158" t="inlineStr">
        <is>
          <t>&gt;</t>
        </is>
      </c>
      <c r="K158" t="n">
        <v>25</v>
      </c>
      <c r="L158" t="n">
        <v>0</v>
      </c>
      <c r="M15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8" t="inlineStr"/>
      <c r="P158" t="inlineStr"/>
    </row>
    <row r="159">
      <c r="A159" t="inlineStr">
        <is>
          <t>Z3</t>
        </is>
      </c>
      <c r="B159" t="inlineStr"/>
      <c r="C159" t="inlineStr"/>
      <c r="D159" t="inlineStr"/>
      <c r="E159" t="inlineStr"/>
      <c r="I159" t="inlineStr">
        <is>
          <t>BOOL</t>
        </is>
      </c>
      <c r="J159" t="inlineStr">
        <is>
          <t>&gt;</t>
        </is>
      </c>
      <c r="K159" t="n">
        <v>25</v>
      </c>
      <c r="L159" t="n">
        <v>1</v>
      </c>
      <c r="M15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5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59" t="inlineStr"/>
      <c r="P159" t="inlineStr"/>
    </row>
    <row r="160">
      <c r="A160" t="inlineStr">
        <is>
          <t>Z3</t>
        </is>
      </c>
      <c r="B160" t="inlineStr"/>
      <c r="C160" t="inlineStr"/>
      <c r="D160" t="inlineStr"/>
      <c r="E160" t="inlineStr"/>
      <c r="I160" t="inlineStr">
        <is>
          <t>BOOL</t>
        </is>
      </c>
      <c r="J160" t="inlineStr">
        <is>
          <t>&gt;</t>
        </is>
      </c>
      <c r="K160" t="n">
        <v>25</v>
      </c>
      <c r="L160" t="n">
        <v>2</v>
      </c>
      <c r="M16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0" t="inlineStr"/>
      <c r="P160" t="inlineStr"/>
    </row>
    <row r="161">
      <c r="A161" t="inlineStr">
        <is>
          <t>Z3</t>
        </is>
      </c>
      <c r="B161" t="inlineStr"/>
      <c r="C161" t="inlineStr"/>
      <c r="D161" t="inlineStr"/>
      <c r="E161" t="inlineStr"/>
      <c r="I161" t="inlineStr">
        <is>
          <t>BOOL</t>
        </is>
      </c>
      <c r="J161" t="inlineStr">
        <is>
          <t>&gt;</t>
        </is>
      </c>
      <c r="K161" t="n">
        <v>25</v>
      </c>
      <c r="L161" t="n">
        <v>3</v>
      </c>
      <c r="M16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1" t="inlineStr"/>
      <c r="P161" t="inlineStr"/>
    </row>
    <row r="162">
      <c r="A162" t="inlineStr">
        <is>
          <t>Z3</t>
        </is>
      </c>
      <c r="B162" t="inlineStr"/>
      <c r="C162" t="inlineStr"/>
      <c r="D162" t="inlineStr"/>
      <c r="E162" t="inlineStr"/>
      <c r="I162" t="inlineStr">
        <is>
          <t>BOOL</t>
        </is>
      </c>
      <c r="J162" t="inlineStr">
        <is>
          <t>&gt;</t>
        </is>
      </c>
      <c r="K162" t="n">
        <v>25</v>
      </c>
      <c r="L162" t="n">
        <v>4</v>
      </c>
      <c r="M16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2" t="inlineStr"/>
      <c r="P162" t="inlineStr"/>
    </row>
    <row r="163">
      <c r="A163" t="inlineStr">
        <is>
          <t>Z3</t>
        </is>
      </c>
      <c r="B163" t="inlineStr"/>
      <c r="C163" t="inlineStr"/>
      <c r="D163" t="inlineStr"/>
      <c r="E163" t="inlineStr"/>
      <c r="I163" t="inlineStr">
        <is>
          <t>BOOL</t>
        </is>
      </c>
      <c r="J163" t="inlineStr">
        <is>
          <t>&gt;</t>
        </is>
      </c>
      <c r="K163" t="n">
        <v>25</v>
      </c>
      <c r="L163" t="n">
        <v>5</v>
      </c>
      <c r="M16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3" t="inlineStr"/>
      <c r="P163" t="inlineStr"/>
    </row>
    <row r="164">
      <c r="A164" t="inlineStr">
        <is>
          <t>Z3</t>
        </is>
      </c>
      <c r="B164" t="inlineStr"/>
      <c r="C164" t="inlineStr"/>
      <c r="D164" t="inlineStr"/>
      <c r="E164" t="inlineStr"/>
      <c r="I164" t="inlineStr">
        <is>
          <t>BOOL</t>
        </is>
      </c>
      <c r="J164" t="inlineStr">
        <is>
          <t>&gt;</t>
        </is>
      </c>
      <c r="K164" t="n">
        <v>25</v>
      </c>
      <c r="L164" t="n">
        <v>6</v>
      </c>
      <c r="M16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4" t="inlineStr"/>
      <c r="P164" t="inlineStr"/>
    </row>
    <row r="165">
      <c r="A165" t="inlineStr">
        <is>
          <t>Z3</t>
        </is>
      </c>
      <c r="B165" t="inlineStr"/>
      <c r="C165" t="inlineStr"/>
      <c r="D165" t="inlineStr"/>
      <c r="E165" t="inlineStr"/>
      <c r="I165" t="inlineStr">
        <is>
          <t>BOOL</t>
        </is>
      </c>
      <c r="J165" t="inlineStr">
        <is>
          <t>&gt;</t>
        </is>
      </c>
      <c r="K165" t="n">
        <v>25</v>
      </c>
      <c r="L165" t="n">
        <v>7</v>
      </c>
      <c r="M16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5" t="inlineStr"/>
      <c r="P165" t="inlineStr"/>
    </row>
    <row r="167">
      <c r="A167" t="inlineStr">
        <is>
          <t>E1/2</t>
        </is>
      </c>
      <c r="B167" t="inlineStr">
        <is>
          <t>Emergency Push Button [ =S1+MS1.CC1-S67001 ]</t>
        </is>
      </c>
      <c r="C167" t="inlineStr">
        <is>
          <t>=S1</t>
        </is>
      </c>
      <c r="D167" t="inlineStr">
        <is>
          <t>+MS1.CC1</t>
        </is>
      </c>
      <c r="E167" t="inlineStr">
        <is>
          <t>-S67001</t>
        </is>
      </c>
      <c r="F167" t="inlineStr">
        <is>
          <t>014</t>
        </is>
      </c>
      <c r="H167" t="inlineStr">
        <is>
          <t>00</t>
        </is>
      </c>
      <c r="I167" t="inlineStr">
        <is>
          <t>BOOL</t>
        </is>
      </c>
      <c r="J167" t="inlineStr">
        <is>
          <t>&gt;</t>
        </is>
      </c>
      <c r="K167" t="n">
        <v>26</v>
      </c>
      <c r="L167" t="n">
        <v>0</v>
      </c>
      <c r="M16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7" t="inlineStr">
        <is>
          <t>PNC_Q_SORTER-02_Emergency Push Button [ =S1+MS1.CC1-S67001 ]</t>
        </is>
      </c>
      <c r="P167" t="inlineStr">
        <is>
          <t>"01_Pushbutton"."Emergency Push Button [ =S1+MS1.CC1-S67001 ]"</t>
        </is>
      </c>
    </row>
    <row r="168">
      <c r="A168" t="inlineStr">
        <is>
          <t>E1/2</t>
        </is>
      </c>
      <c r="B168" t="inlineStr">
        <is>
          <t>Emergency Push Button [ =S1+PC1.CC1-X80101 ]</t>
        </is>
      </c>
      <c r="C168" t="inlineStr">
        <is>
          <t>=S1</t>
        </is>
      </c>
      <c r="D168" t="inlineStr">
        <is>
          <t>+PC1.CC1</t>
        </is>
      </c>
      <c r="E168" t="inlineStr">
        <is>
          <t>-X80101</t>
        </is>
      </c>
      <c r="F168" t="inlineStr">
        <is>
          <t>014</t>
        </is>
      </c>
      <c r="H168" t="inlineStr">
        <is>
          <t>01</t>
        </is>
      </c>
      <c r="I168" t="inlineStr">
        <is>
          <t>BOOL</t>
        </is>
      </c>
      <c r="J168" t="inlineStr">
        <is>
          <t>&gt;</t>
        </is>
      </c>
      <c r="K168" t="n">
        <v>26</v>
      </c>
      <c r="L168" t="n">
        <v>1</v>
      </c>
      <c r="M16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8" t="inlineStr">
        <is>
          <t>PNC_Q_SORTER-02_Emergency Push Button [ =S1+PC1.CC1-X80101 ]</t>
        </is>
      </c>
      <c r="P168" t="inlineStr">
        <is>
          <t>"01_Pushbutton"."Emergency Push Button [ =S1+PC1.CC1-X80101 ]"</t>
        </is>
      </c>
    </row>
    <row r="169">
      <c r="A169" t="inlineStr">
        <is>
          <t>E1/2</t>
        </is>
      </c>
      <c r="B169" t="inlineStr">
        <is>
          <t>Emergency Push Button [ =S2+MS2.CC1-S67001 ]</t>
        </is>
      </c>
      <c r="C169" t="inlineStr">
        <is>
          <t>=S2</t>
        </is>
      </c>
      <c r="D169" t="inlineStr">
        <is>
          <t>+MS2.CC1</t>
        </is>
      </c>
      <c r="E169" t="inlineStr">
        <is>
          <t>-S67001</t>
        </is>
      </c>
      <c r="F169" t="inlineStr">
        <is>
          <t>014</t>
        </is>
      </c>
      <c r="H169" t="inlineStr">
        <is>
          <t>02</t>
        </is>
      </c>
      <c r="I169" t="inlineStr">
        <is>
          <t>BOOL</t>
        </is>
      </c>
      <c r="J169" t="inlineStr">
        <is>
          <t>&gt;</t>
        </is>
      </c>
      <c r="K169" t="n">
        <v>26</v>
      </c>
      <c r="L169" t="n">
        <v>2</v>
      </c>
      <c r="M16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6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69" t="inlineStr">
        <is>
          <t>PNC_Q_SORTER-02_Emergency Push Button [ =S2+MS2.CC1-S67001 ]</t>
        </is>
      </c>
      <c r="P169" t="inlineStr">
        <is>
          <t>"01_Pushbutton"."Emergency Push Button [ =S2+MS2.CC1-S67001 ]"</t>
        </is>
      </c>
    </row>
    <row r="170">
      <c r="A170" t="inlineStr">
        <is>
          <t>E1/2</t>
        </is>
      </c>
      <c r="B170" t="inlineStr">
        <is>
          <t>Emergency Push Button [ =S2+PC2.CC1-X80101 ]</t>
        </is>
      </c>
      <c r="C170" t="inlineStr">
        <is>
          <t>=S2</t>
        </is>
      </c>
      <c r="D170" t="inlineStr">
        <is>
          <t>+PC2.CC1</t>
        </is>
      </c>
      <c r="E170" t="inlineStr">
        <is>
          <t>-X80101</t>
        </is>
      </c>
      <c r="F170" t="inlineStr">
        <is>
          <t>014</t>
        </is>
      </c>
      <c r="H170" t="inlineStr">
        <is>
          <t>03</t>
        </is>
      </c>
      <c r="I170" t="inlineStr">
        <is>
          <t>BOOL</t>
        </is>
      </c>
      <c r="J170" t="inlineStr">
        <is>
          <t>&gt;</t>
        </is>
      </c>
      <c r="K170" t="n">
        <v>26</v>
      </c>
      <c r="L170" t="n">
        <v>3</v>
      </c>
      <c r="M17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0" t="inlineStr">
        <is>
          <t>PNC_Q_SORTER-02_Emergency Push Button [ =S2+PC2.CC1-X80101 ]</t>
        </is>
      </c>
      <c r="P170" t="inlineStr">
        <is>
          <t>"01_Pushbutton"."Emergency Push Button [ =S2+PC2.CC1-X80101 ]"</t>
        </is>
      </c>
    </row>
    <row r="171">
      <c r="A171" t="inlineStr">
        <is>
          <t>E1/2</t>
        </is>
      </c>
      <c r="B171" t="inlineStr"/>
      <c r="C171" t="inlineStr"/>
      <c r="D171" t="inlineStr"/>
      <c r="E171" t="inlineStr"/>
      <c r="I171" t="inlineStr">
        <is>
          <t>BOOL</t>
        </is>
      </c>
      <c r="J171" t="inlineStr">
        <is>
          <t>&gt;</t>
        </is>
      </c>
      <c r="K171" t="n">
        <v>26</v>
      </c>
      <c r="L171" t="n">
        <v>4</v>
      </c>
      <c r="M17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1" t="inlineStr"/>
      <c r="P171" t="inlineStr"/>
    </row>
    <row r="172">
      <c r="A172" t="inlineStr">
        <is>
          <t>E1/2</t>
        </is>
      </c>
      <c r="B172" t="inlineStr"/>
      <c r="C172" t="inlineStr"/>
      <c r="D172" t="inlineStr"/>
      <c r="E172" t="inlineStr"/>
      <c r="I172" t="inlineStr">
        <is>
          <t>BOOL</t>
        </is>
      </c>
      <c r="J172" t="inlineStr">
        <is>
          <t>&gt;</t>
        </is>
      </c>
      <c r="K172" t="n">
        <v>26</v>
      </c>
      <c r="L172" t="n">
        <v>5</v>
      </c>
      <c r="M17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2" t="inlineStr"/>
      <c r="P172" t="inlineStr"/>
    </row>
    <row r="173">
      <c r="A173" t="inlineStr">
        <is>
          <t>E1/2</t>
        </is>
      </c>
      <c r="B173" t="inlineStr"/>
      <c r="C173" t="inlineStr"/>
      <c r="D173" t="inlineStr"/>
      <c r="E173" t="inlineStr"/>
      <c r="I173" t="inlineStr">
        <is>
          <t>BOOL</t>
        </is>
      </c>
      <c r="J173" t="inlineStr">
        <is>
          <t>&gt;</t>
        </is>
      </c>
      <c r="K173" t="n">
        <v>26</v>
      </c>
      <c r="L173" t="n">
        <v>6</v>
      </c>
      <c r="M17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3" t="inlineStr"/>
      <c r="P173" t="inlineStr"/>
    </row>
    <row r="174">
      <c r="A174" t="inlineStr">
        <is>
          <t>E1/2</t>
        </is>
      </c>
      <c r="B174" t="inlineStr"/>
      <c r="C174" t="inlineStr"/>
      <c r="D174" t="inlineStr"/>
      <c r="E174" t="inlineStr"/>
      <c r="I174" t="inlineStr">
        <is>
          <t>BOOL</t>
        </is>
      </c>
      <c r="J174" t="inlineStr">
        <is>
          <t>&gt;</t>
        </is>
      </c>
      <c r="K174" t="n">
        <v>26</v>
      </c>
      <c r="L174" t="n">
        <v>7</v>
      </c>
      <c r="M17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4" t="inlineStr"/>
      <c r="P174" t="inlineStr"/>
    </row>
    <row r="175">
      <c r="A175" t="inlineStr">
        <is>
          <t>E1/2</t>
        </is>
      </c>
      <c r="B175" t="inlineStr"/>
      <c r="C175" t="inlineStr"/>
      <c r="D175" t="inlineStr"/>
      <c r="E175" t="inlineStr"/>
      <c r="I175" t="inlineStr">
        <is>
          <t>BOOL</t>
        </is>
      </c>
      <c r="J175" t="inlineStr">
        <is>
          <t>&gt;</t>
        </is>
      </c>
      <c r="K175" t="n">
        <v>27</v>
      </c>
      <c r="L175" t="n">
        <v>0</v>
      </c>
      <c r="M17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5" t="inlineStr"/>
      <c r="P175" t="inlineStr"/>
    </row>
    <row r="176">
      <c r="A176" t="inlineStr">
        <is>
          <t>E1/2</t>
        </is>
      </c>
      <c r="B176" t="inlineStr"/>
      <c r="C176" t="inlineStr"/>
      <c r="D176" t="inlineStr"/>
      <c r="E176" t="inlineStr"/>
      <c r="I176" t="inlineStr">
        <is>
          <t>BOOL</t>
        </is>
      </c>
      <c r="J176" t="inlineStr">
        <is>
          <t>&gt;</t>
        </is>
      </c>
      <c r="K176" t="n">
        <v>27</v>
      </c>
      <c r="L176" t="n">
        <v>1</v>
      </c>
      <c r="M17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6" t="inlineStr"/>
      <c r="P176" t="inlineStr"/>
    </row>
    <row r="177">
      <c r="A177" t="inlineStr">
        <is>
          <t>E1/2</t>
        </is>
      </c>
      <c r="B177" t="inlineStr"/>
      <c r="C177" t="inlineStr"/>
      <c r="D177" t="inlineStr"/>
      <c r="E177" t="inlineStr"/>
      <c r="I177" t="inlineStr">
        <is>
          <t>BOOL</t>
        </is>
      </c>
      <c r="J177" t="inlineStr">
        <is>
          <t>&gt;</t>
        </is>
      </c>
      <c r="K177" t="n">
        <v>27</v>
      </c>
      <c r="L177" t="n">
        <v>2</v>
      </c>
      <c r="M17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7" t="inlineStr"/>
      <c r="P177" t="inlineStr"/>
    </row>
    <row r="178">
      <c r="A178" t="inlineStr">
        <is>
          <t>E1/2</t>
        </is>
      </c>
      <c r="B178" t="inlineStr"/>
      <c r="C178" t="inlineStr"/>
      <c r="D178" t="inlineStr"/>
      <c r="E178" t="inlineStr"/>
      <c r="I178" t="inlineStr">
        <is>
          <t>BOOL</t>
        </is>
      </c>
      <c r="J178" t="inlineStr">
        <is>
          <t>&gt;</t>
        </is>
      </c>
      <c r="K178" t="n">
        <v>27</v>
      </c>
      <c r="L178" t="n">
        <v>3</v>
      </c>
      <c r="M17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8" t="inlineStr"/>
      <c r="P178" t="inlineStr"/>
    </row>
    <row r="179">
      <c r="A179" t="inlineStr">
        <is>
          <t>E1/2</t>
        </is>
      </c>
      <c r="B179" t="inlineStr"/>
      <c r="C179" t="inlineStr"/>
      <c r="D179" t="inlineStr"/>
      <c r="E179" t="inlineStr"/>
      <c r="I179" t="inlineStr">
        <is>
          <t>BOOL</t>
        </is>
      </c>
      <c r="J179" t="inlineStr">
        <is>
          <t>&gt;</t>
        </is>
      </c>
      <c r="K179" t="n">
        <v>27</v>
      </c>
      <c r="L179" t="n">
        <v>4</v>
      </c>
      <c r="M17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7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79" t="inlineStr"/>
      <c r="P179" t="inlineStr"/>
    </row>
    <row r="180">
      <c r="A180" t="inlineStr">
        <is>
          <t>E1/2</t>
        </is>
      </c>
      <c r="B180" t="inlineStr"/>
      <c r="C180" t="inlineStr"/>
      <c r="D180" t="inlineStr"/>
      <c r="E180" t="inlineStr"/>
      <c r="I180" t="inlineStr">
        <is>
          <t>BOOL</t>
        </is>
      </c>
      <c r="J180" t="inlineStr">
        <is>
          <t>&gt;</t>
        </is>
      </c>
      <c r="K180" t="n">
        <v>27</v>
      </c>
      <c r="L180" t="n">
        <v>5</v>
      </c>
      <c r="M18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0" t="inlineStr"/>
      <c r="P180" t="inlineStr"/>
    </row>
    <row r="181">
      <c r="A181" t="inlineStr">
        <is>
          <t>E1/2</t>
        </is>
      </c>
      <c r="B181" t="inlineStr"/>
      <c r="C181" t="inlineStr"/>
      <c r="D181" t="inlineStr"/>
      <c r="E181" t="inlineStr"/>
      <c r="I181" t="inlineStr">
        <is>
          <t>BOOL</t>
        </is>
      </c>
      <c r="J181" t="inlineStr">
        <is>
          <t>&gt;</t>
        </is>
      </c>
      <c r="K181" t="n">
        <v>27</v>
      </c>
      <c r="L181" t="n">
        <v>6</v>
      </c>
      <c r="M18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1" t="inlineStr"/>
      <c r="P181" t="inlineStr"/>
    </row>
    <row r="182">
      <c r="A182" t="inlineStr">
        <is>
          <t>E1/2</t>
        </is>
      </c>
      <c r="B182" t="inlineStr"/>
      <c r="C182" t="inlineStr"/>
      <c r="D182" t="inlineStr"/>
      <c r="E182" t="inlineStr"/>
      <c r="I182" t="inlineStr">
        <is>
          <t>BOOL</t>
        </is>
      </c>
      <c r="J182" t="inlineStr">
        <is>
          <t>&gt;</t>
        </is>
      </c>
      <c r="K182" t="n">
        <v>27</v>
      </c>
      <c r="L182" t="n">
        <v>7</v>
      </c>
      <c r="M18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2" t="inlineStr"/>
      <c r="P182" t="inlineStr"/>
    </row>
    <row r="184">
      <c r="A184" t="inlineStr">
        <is>
          <t>B1/2</t>
        </is>
      </c>
      <c r="B184" t="inlineStr">
        <is>
          <t>Safety Breaker [ =S1+MS1.CC1-Q67001 ]</t>
        </is>
      </c>
      <c r="C184" t="inlineStr">
        <is>
          <t>=S1</t>
        </is>
      </c>
      <c r="D184" t="inlineStr">
        <is>
          <t>+MS1.CC1</t>
        </is>
      </c>
      <c r="E184" t="inlineStr">
        <is>
          <t>-Q67001</t>
        </is>
      </c>
      <c r="F184" t="inlineStr">
        <is>
          <t>012</t>
        </is>
      </c>
      <c r="H184" t="inlineStr">
        <is>
          <t>00</t>
        </is>
      </c>
      <c r="I184" t="inlineStr">
        <is>
          <t>BOOL</t>
        </is>
      </c>
      <c r="J184" t="inlineStr">
        <is>
          <t>&gt;</t>
        </is>
      </c>
      <c r="K184" t="n">
        <v>28</v>
      </c>
      <c r="L184" t="n">
        <v>0</v>
      </c>
      <c r="M18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4" t="inlineStr">
        <is>
          <t>PNC_Q_SORTER-02_Safety Breaker [ =S1+MS1.CC1-Q67001 ]</t>
        </is>
      </c>
      <c r="P184" t="inlineStr">
        <is>
          <t>"01_Pushbutton"."Safety Breaker [ =S1+MS1.CC1-Q67001 ]"</t>
        </is>
      </c>
    </row>
    <row r="185">
      <c r="A185" t="inlineStr">
        <is>
          <t>B1/2</t>
        </is>
      </c>
      <c r="B185" t="inlineStr">
        <is>
          <t>Safety Breaker [ =S2+MS2.CC1-Q67001 ]</t>
        </is>
      </c>
      <c r="C185" t="inlineStr">
        <is>
          <t>=S2</t>
        </is>
      </c>
      <c r="D185" t="inlineStr">
        <is>
          <t>+MS2.CC1</t>
        </is>
      </c>
      <c r="E185" t="inlineStr">
        <is>
          <t>-Q67001</t>
        </is>
      </c>
      <c r="F185" t="inlineStr">
        <is>
          <t>012</t>
        </is>
      </c>
      <c r="H185" t="inlineStr">
        <is>
          <t>01</t>
        </is>
      </c>
      <c r="I185" t="inlineStr">
        <is>
          <t>BOOL</t>
        </is>
      </c>
      <c r="J185" t="inlineStr">
        <is>
          <t>&gt;</t>
        </is>
      </c>
      <c r="K185" t="n">
        <v>28</v>
      </c>
      <c r="L185" t="n">
        <v>1</v>
      </c>
      <c r="M18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5" t="inlineStr">
        <is>
          <t>PNC_Q_SORTER-02_Safety Breaker [ =S2+MS2.CC1-Q67001 ]</t>
        </is>
      </c>
      <c r="P185" t="inlineStr">
        <is>
          <t>"01_Pushbutton"."Safety Breaker [ =S2+MS2.CC1-Q67001 ]"</t>
        </is>
      </c>
    </row>
    <row r="186">
      <c r="A186" t="inlineStr">
        <is>
          <t>B1/2</t>
        </is>
      </c>
      <c r="B186" t="inlineStr"/>
      <c r="C186" t="inlineStr"/>
      <c r="D186" t="inlineStr"/>
      <c r="E186" t="inlineStr"/>
      <c r="I186" t="inlineStr">
        <is>
          <t>BOOL</t>
        </is>
      </c>
      <c r="J186" t="inlineStr">
        <is>
          <t>&gt;</t>
        </is>
      </c>
      <c r="K186" t="n">
        <v>28</v>
      </c>
      <c r="L186" t="n">
        <v>2</v>
      </c>
      <c r="M18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6" t="inlineStr"/>
      <c r="P186" t="inlineStr"/>
    </row>
    <row r="187">
      <c r="A187" t="inlineStr">
        <is>
          <t>B1/2</t>
        </is>
      </c>
      <c r="B187" t="inlineStr"/>
      <c r="C187" t="inlineStr"/>
      <c r="D187" t="inlineStr"/>
      <c r="E187" t="inlineStr"/>
      <c r="I187" t="inlineStr">
        <is>
          <t>BOOL</t>
        </is>
      </c>
      <c r="J187" t="inlineStr">
        <is>
          <t>&gt;</t>
        </is>
      </c>
      <c r="K187" t="n">
        <v>28</v>
      </c>
      <c r="L187" t="n">
        <v>3</v>
      </c>
      <c r="M18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7" t="inlineStr"/>
      <c r="P187" t="inlineStr"/>
    </row>
    <row r="188">
      <c r="A188" t="inlineStr">
        <is>
          <t>B1/2</t>
        </is>
      </c>
      <c r="B188" t="inlineStr"/>
      <c r="C188" t="inlineStr"/>
      <c r="D188" t="inlineStr"/>
      <c r="E188" t="inlineStr"/>
      <c r="I188" t="inlineStr">
        <is>
          <t>BOOL</t>
        </is>
      </c>
      <c r="J188" t="inlineStr">
        <is>
          <t>&gt;</t>
        </is>
      </c>
      <c r="K188" t="n">
        <v>28</v>
      </c>
      <c r="L188" t="n">
        <v>4</v>
      </c>
      <c r="M18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8" t="inlineStr"/>
      <c r="P188" t="inlineStr"/>
    </row>
    <row r="189">
      <c r="A189" t="inlineStr">
        <is>
          <t>B1/2</t>
        </is>
      </c>
      <c r="B189" t="inlineStr"/>
      <c r="C189" t="inlineStr"/>
      <c r="D189" t="inlineStr"/>
      <c r="E189" t="inlineStr"/>
      <c r="I189" t="inlineStr">
        <is>
          <t>BOOL</t>
        </is>
      </c>
      <c r="J189" t="inlineStr">
        <is>
          <t>&gt;</t>
        </is>
      </c>
      <c r="K189" t="n">
        <v>28</v>
      </c>
      <c r="L189" t="n">
        <v>5</v>
      </c>
      <c r="M18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8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89" t="inlineStr"/>
      <c r="P189" t="inlineStr"/>
    </row>
    <row r="190">
      <c r="A190" t="inlineStr">
        <is>
          <t>B1/2</t>
        </is>
      </c>
      <c r="B190" t="inlineStr"/>
      <c r="C190" t="inlineStr"/>
      <c r="D190" t="inlineStr"/>
      <c r="E190" t="inlineStr"/>
      <c r="I190" t="inlineStr">
        <is>
          <t>BOOL</t>
        </is>
      </c>
      <c r="J190" t="inlineStr">
        <is>
          <t>&gt;</t>
        </is>
      </c>
      <c r="K190" t="n">
        <v>28</v>
      </c>
      <c r="L190" t="n">
        <v>6</v>
      </c>
      <c r="M19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0" t="inlineStr"/>
      <c r="P190" t="inlineStr"/>
    </row>
    <row r="191">
      <c r="A191" t="inlineStr">
        <is>
          <t>B1/2</t>
        </is>
      </c>
      <c r="B191" t="inlineStr"/>
      <c r="C191" t="inlineStr"/>
      <c r="D191" t="inlineStr"/>
      <c r="E191" t="inlineStr"/>
      <c r="I191" t="inlineStr">
        <is>
          <t>BOOL</t>
        </is>
      </c>
      <c r="J191" t="inlineStr">
        <is>
          <t>&gt;</t>
        </is>
      </c>
      <c r="K191" t="n">
        <v>28</v>
      </c>
      <c r="L191" t="n">
        <v>7</v>
      </c>
      <c r="M19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1" t="inlineStr"/>
      <c r="P191" t="inlineStr"/>
    </row>
    <row r="192">
      <c r="A192" t="inlineStr">
        <is>
          <t>B1/2</t>
        </is>
      </c>
      <c r="B192" t="inlineStr"/>
      <c r="C192" t="inlineStr"/>
      <c r="D192" t="inlineStr"/>
      <c r="E192" t="inlineStr"/>
      <c r="I192" t="inlineStr">
        <is>
          <t>BOOL</t>
        </is>
      </c>
      <c r="J192" t="inlineStr">
        <is>
          <t>&gt;</t>
        </is>
      </c>
      <c r="K192" t="n">
        <v>29</v>
      </c>
      <c r="L192" t="n">
        <v>0</v>
      </c>
      <c r="M19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2" t="inlineStr"/>
      <c r="P192" t="inlineStr"/>
    </row>
    <row r="193">
      <c r="A193" t="inlineStr">
        <is>
          <t>B1/2</t>
        </is>
      </c>
      <c r="B193" t="inlineStr"/>
      <c r="C193" t="inlineStr"/>
      <c r="D193" t="inlineStr"/>
      <c r="E193" t="inlineStr"/>
      <c r="I193" t="inlineStr">
        <is>
          <t>BOOL</t>
        </is>
      </c>
      <c r="J193" t="inlineStr">
        <is>
          <t>&gt;</t>
        </is>
      </c>
      <c r="K193" t="n">
        <v>29</v>
      </c>
      <c r="L193" t="n">
        <v>1</v>
      </c>
      <c r="M19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3" t="inlineStr"/>
      <c r="P193" t="inlineStr"/>
    </row>
    <row r="194">
      <c r="A194" t="inlineStr">
        <is>
          <t>B1/2</t>
        </is>
      </c>
      <c r="B194" t="inlineStr"/>
      <c r="C194" t="inlineStr"/>
      <c r="D194" t="inlineStr"/>
      <c r="E194" t="inlineStr"/>
      <c r="I194" t="inlineStr">
        <is>
          <t>BOOL</t>
        </is>
      </c>
      <c r="J194" t="inlineStr">
        <is>
          <t>&gt;</t>
        </is>
      </c>
      <c r="K194" t="n">
        <v>29</v>
      </c>
      <c r="L194" t="n">
        <v>2</v>
      </c>
      <c r="M19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4" t="inlineStr"/>
      <c r="P194" t="inlineStr"/>
    </row>
    <row r="195">
      <c r="A195" t="inlineStr">
        <is>
          <t>B1/2</t>
        </is>
      </c>
      <c r="B195" t="inlineStr"/>
      <c r="C195" t="inlineStr"/>
      <c r="D195" t="inlineStr"/>
      <c r="E195" t="inlineStr"/>
      <c r="I195" t="inlineStr">
        <is>
          <t>BOOL</t>
        </is>
      </c>
      <c r="J195" t="inlineStr">
        <is>
          <t>&gt;</t>
        </is>
      </c>
      <c r="K195" t="n">
        <v>29</v>
      </c>
      <c r="L195" t="n">
        <v>3</v>
      </c>
      <c r="M19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5" t="inlineStr"/>
      <c r="P195" t="inlineStr"/>
    </row>
    <row r="196">
      <c r="A196" t="inlineStr">
        <is>
          <t>B1/2</t>
        </is>
      </c>
      <c r="B196" t="inlineStr"/>
      <c r="C196" t="inlineStr"/>
      <c r="D196" t="inlineStr"/>
      <c r="E196" t="inlineStr"/>
      <c r="I196" t="inlineStr">
        <is>
          <t>BOOL</t>
        </is>
      </c>
      <c r="J196" t="inlineStr">
        <is>
          <t>&gt;</t>
        </is>
      </c>
      <c r="K196" t="n">
        <v>29</v>
      </c>
      <c r="L196" t="n">
        <v>4</v>
      </c>
      <c r="M19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6" t="inlineStr"/>
      <c r="P196" t="inlineStr"/>
    </row>
    <row r="197">
      <c r="A197" t="inlineStr">
        <is>
          <t>B1/2</t>
        </is>
      </c>
      <c r="B197" t="inlineStr"/>
      <c r="C197" t="inlineStr"/>
      <c r="D197" t="inlineStr"/>
      <c r="E197" t="inlineStr"/>
      <c r="I197" t="inlineStr">
        <is>
          <t>BOOL</t>
        </is>
      </c>
      <c r="J197" t="inlineStr">
        <is>
          <t>&gt;</t>
        </is>
      </c>
      <c r="K197" t="n">
        <v>29</v>
      </c>
      <c r="L197" t="n">
        <v>5</v>
      </c>
      <c r="M19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7" t="inlineStr"/>
      <c r="P197" t="inlineStr"/>
    </row>
    <row r="198">
      <c r="A198" t="inlineStr">
        <is>
          <t>B1/2</t>
        </is>
      </c>
      <c r="B198" t="inlineStr"/>
      <c r="C198" t="inlineStr"/>
      <c r="D198" t="inlineStr"/>
      <c r="E198" t="inlineStr"/>
      <c r="I198" t="inlineStr">
        <is>
          <t>BOOL</t>
        </is>
      </c>
      <c r="J198" t="inlineStr">
        <is>
          <t>&gt;</t>
        </is>
      </c>
      <c r="K198" t="n">
        <v>29</v>
      </c>
      <c r="L198" t="n">
        <v>6</v>
      </c>
      <c r="M19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8" t="inlineStr"/>
      <c r="P198" t="inlineStr"/>
    </row>
    <row r="199">
      <c r="A199" t="inlineStr">
        <is>
          <t>B1/2</t>
        </is>
      </c>
      <c r="B199" t="inlineStr"/>
      <c r="C199" t="inlineStr"/>
      <c r="D199" t="inlineStr"/>
      <c r="E199" t="inlineStr"/>
      <c r="I199" t="inlineStr">
        <is>
          <t>BOOL</t>
        </is>
      </c>
      <c r="J199" t="inlineStr">
        <is>
          <t>&gt;</t>
        </is>
      </c>
      <c r="K199" t="n">
        <v>29</v>
      </c>
      <c r="L199" t="n">
        <v>7</v>
      </c>
      <c r="M19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19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199" t="inlineStr"/>
      <c r="P199" t="inlineStr"/>
    </row>
    <row r="201">
      <c r="A201" t="inlineStr">
        <is>
          <t>F1/2</t>
        </is>
      </c>
      <c r="B201" t="inlineStr">
        <is>
          <t>Fire Alarm [ =S1+MS1.CC1-X40001 ] F1/2</t>
        </is>
      </c>
      <c r="C201" t="inlineStr">
        <is>
          <t>=S1</t>
        </is>
      </c>
      <c r="D201" t="inlineStr">
        <is>
          <t>+MS1.CC1</t>
        </is>
      </c>
      <c r="E201" t="inlineStr">
        <is>
          <t>-X40001</t>
        </is>
      </c>
      <c r="F201" t="inlineStr">
        <is>
          <t>013</t>
        </is>
      </c>
      <c r="H201" t="inlineStr">
        <is>
          <t>00</t>
        </is>
      </c>
      <c r="I201" t="inlineStr">
        <is>
          <t>BOOL</t>
        </is>
      </c>
      <c r="J201" t="inlineStr">
        <is>
          <t>&gt;</t>
        </is>
      </c>
      <c r="K201" t="n">
        <v>30</v>
      </c>
      <c r="L201" t="n">
        <v>0</v>
      </c>
      <c r="M20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1" t="inlineStr">
        <is>
          <t>PNC_Q_SORTER-02_Fire Alarm [ =S1+MS1.CC1-X40001 ] F1/2</t>
        </is>
      </c>
      <c r="P201" t="inlineStr">
        <is>
          <t>"Fire Alarm [ =S1+MS1.CC1-X40001 ] F1/2"</t>
        </is>
      </c>
    </row>
    <row r="202">
      <c r="A202" t="inlineStr">
        <is>
          <t>F1/2</t>
        </is>
      </c>
      <c r="B202" t="inlineStr">
        <is>
          <t>Fire Alarm [ =S2+MS2.CC1-X40001 ] F1/2</t>
        </is>
      </c>
      <c r="C202" t="inlineStr">
        <is>
          <t>=S2</t>
        </is>
      </c>
      <c r="D202" t="inlineStr">
        <is>
          <t>+MS2.CC1</t>
        </is>
      </c>
      <c r="E202" t="inlineStr">
        <is>
          <t>-X40001</t>
        </is>
      </c>
      <c r="F202" t="inlineStr">
        <is>
          <t>013</t>
        </is>
      </c>
      <c r="H202" t="inlineStr">
        <is>
          <t>01</t>
        </is>
      </c>
      <c r="I202" t="inlineStr">
        <is>
          <t>BOOL</t>
        </is>
      </c>
      <c r="J202" t="inlineStr">
        <is>
          <t>&gt;</t>
        </is>
      </c>
      <c r="K202" t="n">
        <v>30</v>
      </c>
      <c r="L202" t="n">
        <v>1</v>
      </c>
      <c r="M20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2" t="inlineStr">
        <is>
          <t>PNC_Q_SORTER-02_Fire Alarm [ =S2+MS2.CC1-X40001 ] F1/2</t>
        </is>
      </c>
      <c r="P202" t="inlineStr">
        <is>
          <t>"Fire Alarm [ =S2+MS2.CC1-X40001 ] F1/2"</t>
        </is>
      </c>
    </row>
    <row r="203">
      <c r="A203" t="inlineStr">
        <is>
          <t>F1/2</t>
        </is>
      </c>
      <c r="B203" t="inlineStr"/>
      <c r="C203" t="inlineStr"/>
      <c r="D203" t="inlineStr"/>
      <c r="E203" t="inlineStr"/>
      <c r="I203" t="inlineStr">
        <is>
          <t>BOOL</t>
        </is>
      </c>
      <c r="J203" t="inlineStr">
        <is>
          <t>&gt;</t>
        </is>
      </c>
      <c r="K203" t="n">
        <v>30</v>
      </c>
      <c r="L203" t="n">
        <v>2</v>
      </c>
      <c r="M20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3" t="inlineStr"/>
      <c r="P203" t="inlineStr"/>
    </row>
    <row r="204">
      <c r="A204" t="inlineStr">
        <is>
          <t>F1/2</t>
        </is>
      </c>
      <c r="B204" t="inlineStr"/>
      <c r="C204" t="inlineStr"/>
      <c r="D204" t="inlineStr"/>
      <c r="E204" t="inlineStr"/>
      <c r="I204" t="inlineStr">
        <is>
          <t>BOOL</t>
        </is>
      </c>
      <c r="J204" t="inlineStr">
        <is>
          <t>&gt;</t>
        </is>
      </c>
      <c r="K204" t="n">
        <v>30</v>
      </c>
      <c r="L204" t="n">
        <v>3</v>
      </c>
      <c r="M20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4" t="inlineStr"/>
      <c r="P204" t="inlineStr"/>
    </row>
    <row r="205">
      <c r="A205" t="inlineStr">
        <is>
          <t>F1/2</t>
        </is>
      </c>
      <c r="B205" t="inlineStr"/>
      <c r="C205" t="inlineStr"/>
      <c r="D205" t="inlineStr"/>
      <c r="E205" t="inlineStr"/>
      <c r="I205" t="inlineStr">
        <is>
          <t>BOOL</t>
        </is>
      </c>
      <c r="J205" t="inlineStr">
        <is>
          <t>&gt;</t>
        </is>
      </c>
      <c r="K205" t="n">
        <v>30</v>
      </c>
      <c r="L205" t="n">
        <v>4</v>
      </c>
      <c r="M20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5" t="inlineStr"/>
      <c r="P205" t="inlineStr"/>
    </row>
    <row r="206">
      <c r="A206" t="inlineStr">
        <is>
          <t>F1/2</t>
        </is>
      </c>
      <c r="B206" t="inlineStr"/>
      <c r="C206" t="inlineStr"/>
      <c r="D206" t="inlineStr"/>
      <c r="E206" t="inlineStr"/>
      <c r="I206" t="inlineStr">
        <is>
          <t>BOOL</t>
        </is>
      </c>
      <c r="J206" t="inlineStr">
        <is>
          <t>&gt;</t>
        </is>
      </c>
      <c r="K206" t="n">
        <v>30</v>
      </c>
      <c r="L206" t="n">
        <v>5</v>
      </c>
      <c r="M20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6" t="inlineStr"/>
      <c r="P206" t="inlineStr"/>
    </row>
    <row r="207">
      <c r="A207" t="inlineStr">
        <is>
          <t>F1/2</t>
        </is>
      </c>
      <c r="B207" t="inlineStr"/>
      <c r="C207" t="inlineStr"/>
      <c r="D207" t="inlineStr"/>
      <c r="E207" t="inlineStr"/>
      <c r="I207" t="inlineStr">
        <is>
          <t>BOOL</t>
        </is>
      </c>
      <c r="J207" t="inlineStr">
        <is>
          <t>&gt;</t>
        </is>
      </c>
      <c r="K207" t="n">
        <v>30</v>
      </c>
      <c r="L207" t="n">
        <v>6</v>
      </c>
      <c r="M20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7" t="inlineStr"/>
      <c r="P207" t="inlineStr"/>
    </row>
    <row r="208">
      <c r="A208" t="inlineStr">
        <is>
          <t>F1/2</t>
        </is>
      </c>
      <c r="B208" t="inlineStr"/>
      <c r="C208" t="inlineStr"/>
      <c r="D208" t="inlineStr"/>
      <c r="E208" t="inlineStr"/>
      <c r="I208" t="inlineStr">
        <is>
          <t>BOOL</t>
        </is>
      </c>
      <c r="J208" t="inlineStr">
        <is>
          <t>&gt;</t>
        </is>
      </c>
      <c r="K208" t="n">
        <v>30</v>
      </c>
      <c r="L208" t="n">
        <v>7</v>
      </c>
      <c r="M20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8" t="inlineStr"/>
      <c r="P208" t="inlineStr"/>
    </row>
    <row r="209">
      <c r="A209" t="inlineStr">
        <is>
          <t>F1/2</t>
        </is>
      </c>
      <c r="B209" t="inlineStr"/>
      <c r="C209" t="inlineStr"/>
      <c r="D209" t="inlineStr"/>
      <c r="E209" t="inlineStr"/>
      <c r="I209" t="inlineStr">
        <is>
          <t>BOOL</t>
        </is>
      </c>
      <c r="J209" t="inlineStr">
        <is>
          <t>&gt;</t>
        </is>
      </c>
      <c r="K209" t="n">
        <v>31</v>
      </c>
      <c r="L209" t="n">
        <v>0</v>
      </c>
      <c r="M20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0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09" t="inlineStr"/>
      <c r="P209" t="inlineStr"/>
    </row>
    <row r="210">
      <c r="A210" t="inlineStr">
        <is>
          <t>F1/2</t>
        </is>
      </c>
      <c r="B210" t="inlineStr"/>
      <c r="C210" t="inlineStr"/>
      <c r="D210" t="inlineStr"/>
      <c r="E210" t="inlineStr"/>
      <c r="I210" t="inlineStr">
        <is>
          <t>BOOL</t>
        </is>
      </c>
      <c r="J210" t="inlineStr">
        <is>
          <t>&gt;</t>
        </is>
      </c>
      <c r="K210" t="n">
        <v>31</v>
      </c>
      <c r="L210" t="n">
        <v>1</v>
      </c>
      <c r="M21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0" t="inlineStr"/>
      <c r="P210" t="inlineStr"/>
    </row>
    <row r="211">
      <c r="A211" t="inlineStr">
        <is>
          <t>F1/2</t>
        </is>
      </c>
      <c r="B211" t="inlineStr"/>
      <c r="C211" t="inlineStr"/>
      <c r="D211" t="inlineStr"/>
      <c r="E211" t="inlineStr"/>
      <c r="I211" t="inlineStr">
        <is>
          <t>BOOL</t>
        </is>
      </c>
      <c r="J211" t="inlineStr">
        <is>
          <t>&gt;</t>
        </is>
      </c>
      <c r="K211" t="n">
        <v>31</v>
      </c>
      <c r="L211" t="n">
        <v>2</v>
      </c>
      <c r="M21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1" t="inlineStr"/>
      <c r="P211" t="inlineStr"/>
    </row>
    <row r="212">
      <c r="A212" t="inlineStr">
        <is>
          <t>F1/2</t>
        </is>
      </c>
      <c r="B212" t="inlineStr"/>
      <c r="C212" t="inlineStr"/>
      <c r="D212" t="inlineStr"/>
      <c r="E212" t="inlineStr"/>
      <c r="I212" t="inlineStr">
        <is>
          <t>BOOL</t>
        </is>
      </c>
      <c r="J212" t="inlineStr">
        <is>
          <t>&gt;</t>
        </is>
      </c>
      <c r="K212" t="n">
        <v>31</v>
      </c>
      <c r="L212" t="n">
        <v>3</v>
      </c>
      <c r="M21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2" t="inlineStr"/>
      <c r="P212" t="inlineStr"/>
    </row>
    <row r="213">
      <c r="A213" t="inlineStr">
        <is>
          <t>F1/2</t>
        </is>
      </c>
      <c r="B213" t="inlineStr"/>
      <c r="C213" t="inlineStr"/>
      <c r="D213" t="inlineStr"/>
      <c r="E213" t="inlineStr"/>
      <c r="I213" t="inlineStr">
        <is>
          <t>BOOL</t>
        </is>
      </c>
      <c r="J213" t="inlineStr">
        <is>
          <t>&gt;</t>
        </is>
      </c>
      <c r="K213" t="n">
        <v>31</v>
      </c>
      <c r="L213" t="n">
        <v>4</v>
      </c>
      <c r="M21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3" t="inlineStr"/>
      <c r="P213" t="inlineStr"/>
    </row>
    <row r="214">
      <c r="A214" t="inlineStr">
        <is>
          <t>F1/2</t>
        </is>
      </c>
      <c r="B214" t="inlineStr"/>
      <c r="C214" t="inlineStr"/>
      <c r="D214" t="inlineStr"/>
      <c r="E214" t="inlineStr"/>
      <c r="I214" t="inlineStr">
        <is>
          <t>BOOL</t>
        </is>
      </c>
      <c r="J214" t="inlineStr">
        <is>
          <t>&gt;</t>
        </is>
      </c>
      <c r="K214" t="n">
        <v>31</v>
      </c>
      <c r="L214" t="n">
        <v>5</v>
      </c>
      <c r="M21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4" t="inlineStr"/>
      <c r="P214" t="inlineStr"/>
    </row>
    <row r="215">
      <c r="A215" t="inlineStr">
        <is>
          <t>F1/2</t>
        </is>
      </c>
      <c r="B215" t="inlineStr"/>
      <c r="C215" t="inlineStr"/>
      <c r="D215" t="inlineStr"/>
      <c r="E215" t="inlineStr"/>
      <c r="I215" t="inlineStr">
        <is>
          <t>BOOL</t>
        </is>
      </c>
      <c r="J215" t="inlineStr">
        <is>
          <t>&gt;</t>
        </is>
      </c>
      <c r="K215" t="n">
        <v>31</v>
      </c>
      <c r="L215" t="n">
        <v>6</v>
      </c>
      <c r="M21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5" t="inlineStr"/>
      <c r="P215" t="inlineStr"/>
    </row>
    <row r="216">
      <c r="A216" t="inlineStr">
        <is>
          <t>F1/2</t>
        </is>
      </c>
      <c r="B216" t="inlineStr"/>
      <c r="C216" t="inlineStr"/>
      <c r="D216" t="inlineStr"/>
      <c r="E216" t="inlineStr"/>
      <c r="I216" t="inlineStr">
        <is>
          <t>BOOL</t>
        </is>
      </c>
      <c r="J216" t="inlineStr">
        <is>
          <t>&gt;</t>
        </is>
      </c>
      <c r="K216" t="n">
        <v>31</v>
      </c>
      <c r="L216" t="n">
        <v>7</v>
      </c>
      <c r="M21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6" t="inlineStr"/>
      <c r="P216" t="inlineStr"/>
    </row>
    <row r="218">
      <c r="A218" t="inlineStr">
        <is>
          <t>N1/2</t>
        </is>
      </c>
      <c r="B218" t="inlineStr">
        <is>
          <t>Safety Encoder 0001 Sensor 1 [ =S1+PC1.CC1-X81001 ]</t>
        </is>
      </c>
      <c r="C218" t="inlineStr">
        <is>
          <t>=S1</t>
        </is>
      </c>
      <c r="D218" t="inlineStr">
        <is>
          <t>+PC1.CC1</t>
        </is>
      </c>
      <c r="E218" t="inlineStr">
        <is>
          <t>-X81001</t>
        </is>
      </c>
      <c r="F218" t="inlineStr">
        <is>
          <t>011</t>
        </is>
      </c>
      <c r="H218" t="inlineStr">
        <is>
          <t>00</t>
        </is>
      </c>
      <c r="I218" t="inlineStr">
        <is>
          <t>BOOL</t>
        </is>
      </c>
      <c r="J218" t="inlineStr">
        <is>
          <t>&gt;</t>
        </is>
      </c>
      <c r="K218" t="n">
        <v>32</v>
      </c>
      <c r="L218" t="n">
        <v>0</v>
      </c>
      <c r="M21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8" t="inlineStr">
        <is>
          <t>PNC_Q_SORTER-02_Safety Encoder 0001 Sensor 1 [ =S1+PC1.CC1-X81001 ]</t>
        </is>
      </c>
      <c r="P218" t="inlineStr">
        <is>
          <t>"04_SPEED"."Safety Encoder 0001 Sensor 1 Healthy [ =S1+PC1.CC1-X81001 ]"</t>
        </is>
      </c>
    </row>
    <row r="219">
      <c r="A219" t="inlineStr">
        <is>
          <t>N1/2</t>
        </is>
      </c>
      <c r="B219" t="inlineStr">
        <is>
          <t>Safety Encoder 0002 Sensor 1 [ =S2+PC2.CC1-X81001 ]</t>
        </is>
      </c>
      <c r="C219" t="inlineStr">
        <is>
          <t>=S2</t>
        </is>
      </c>
      <c r="D219" t="inlineStr">
        <is>
          <t>+PC2.CC1</t>
        </is>
      </c>
      <c r="E219" t="inlineStr">
        <is>
          <t>-X81001</t>
        </is>
      </c>
      <c r="F219" t="inlineStr">
        <is>
          <t>011</t>
        </is>
      </c>
      <c r="H219" t="inlineStr">
        <is>
          <t>02</t>
        </is>
      </c>
      <c r="I219" t="inlineStr">
        <is>
          <t>BOOL</t>
        </is>
      </c>
      <c r="J219" t="inlineStr">
        <is>
          <t>&gt;</t>
        </is>
      </c>
      <c r="K219" t="n">
        <v>32</v>
      </c>
      <c r="L219" t="n">
        <v>1</v>
      </c>
      <c r="M21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1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19" t="inlineStr">
        <is>
          <t>PNC_Q_SORTER-02_Safety Encoder 0002 Sensor 1 [ =S2+PC2.CC1-X81001 ]</t>
        </is>
      </c>
      <c r="P219" t="inlineStr">
        <is>
          <t>"04_SPEED"."Safety Encoder 0002 Sensor 1 Healthy [ =S2+PC2.CC1-X81001 ]"</t>
        </is>
      </c>
    </row>
    <row r="220">
      <c r="A220" t="inlineStr">
        <is>
          <t>N1/2</t>
        </is>
      </c>
      <c r="B220" t="inlineStr"/>
      <c r="C220" t="inlineStr"/>
      <c r="D220" t="inlineStr"/>
      <c r="E220" t="inlineStr"/>
      <c r="I220" t="inlineStr">
        <is>
          <t>BOOL</t>
        </is>
      </c>
      <c r="J220" t="inlineStr">
        <is>
          <t>&gt;</t>
        </is>
      </c>
      <c r="K220" t="n">
        <v>32</v>
      </c>
      <c r="L220" t="n">
        <v>2</v>
      </c>
      <c r="M22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0" t="inlineStr"/>
      <c r="P220" t="inlineStr"/>
    </row>
    <row r="221">
      <c r="A221" t="inlineStr">
        <is>
          <t>N1/2</t>
        </is>
      </c>
      <c r="B221" t="inlineStr"/>
      <c r="C221" t="inlineStr"/>
      <c r="D221" t="inlineStr"/>
      <c r="E221" t="inlineStr"/>
      <c r="I221" t="inlineStr">
        <is>
          <t>BOOL</t>
        </is>
      </c>
      <c r="J221" t="inlineStr">
        <is>
          <t>&gt;</t>
        </is>
      </c>
      <c r="K221" t="n">
        <v>32</v>
      </c>
      <c r="L221" t="n">
        <v>3</v>
      </c>
      <c r="M22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1" t="inlineStr"/>
      <c r="P221" t="inlineStr"/>
    </row>
    <row r="222">
      <c r="A222" t="inlineStr">
        <is>
          <t>N1/2</t>
        </is>
      </c>
      <c r="B222" t="inlineStr"/>
      <c r="C222" t="inlineStr"/>
      <c r="D222" t="inlineStr"/>
      <c r="E222" t="inlineStr"/>
      <c r="I222" t="inlineStr">
        <is>
          <t>BOOL</t>
        </is>
      </c>
      <c r="J222" t="inlineStr">
        <is>
          <t>&gt;</t>
        </is>
      </c>
      <c r="K222" t="n">
        <v>32</v>
      </c>
      <c r="L222" t="n">
        <v>4</v>
      </c>
      <c r="M22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2" t="inlineStr"/>
      <c r="P222" t="inlineStr"/>
    </row>
    <row r="223">
      <c r="A223" t="inlineStr">
        <is>
          <t>N1/2</t>
        </is>
      </c>
      <c r="B223" t="inlineStr"/>
      <c r="C223" t="inlineStr"/>
      <c r="D223" t="inlineStr"/>
      <c r="E223" t="inlineStr"/>
      <c r="I223" t="inlineStr">
        <is>
          <t>BOOL</t>
        </is>
      </c>
      <c r="J223" t="inlineStr">
        <is>
          <t>&gt;</t>
        </is>
      </c>
      <c r="K223" t="n">
        <v>32</v>
      </c>
      <c r="L223" t="n">
        <v>5</v>
      </c>
      <c r="M22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3" t="inlineStr"/>
      <c r="P223" t="inlineStr"/>
    </row>
    <row r="224">
      <c r="A224" t="inlineStr">
        <is>
          <t>N1/2</t>
        </is>
      </c>
      <c r="B224" t="inlineStr"/>
      <c r="C224" t="inlineStr"/>
      <c r="D224" t="inlineStr"/>
      <c r="E224" t="inlineStr"/>
      <c r="I224" t="inlineStr">
        <is>
          <t>BOOL</t>
        </is>
      </c>
      <c r="J224" t="inlineStr">
        <is>
          <t>&gt;</t>
        </is>
      </c>
      <c r="K224" t="n">
        <v>32</v>
      </c>
      <c r="L224" t="n">
        <v>6</v>
      </c>
      <c r="M22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4" t="inlineStr"/>
      <c r="P224" t="inlineStr"/>
    </row>
    <row r="225">
      <c r="A225" t="inlineStr">
        <is>
          <t>N1/2</t>
        </is>
      </c>
      <c r="B225" t="inlineStr"/>
      <c r="C225" t="inlineStr"/>
      <c r="D225" t="inlineStr"/>
      <c r="E225" t="inlineStr"/>
      <c r="I225" t="inlineStr">
        <is>
          <t>BOOL</t>
        </is>
      </c>
      <c r="J225" t="inlineStr">
        <is>
          <t>&gt;</t>
        </is>
      </c>
      <c r="K225" t="n">
        <v>32</v>
      </c>
      <c r="L225" t="n">
        <v>7</v>
      </c>
      <c r="M22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5" t="inlineStr"/>
      <c r="P225" t="inlineStr"/>
    </row>
    <row r="226">
      <c r="A226" t="inlineStr">
        <is>
          <t>N1/2</t>
        </is>
      </c>
      <c r="B226" t="inlineStr"/>
      <c r="C226" t="inlineStr"/>
      <c r="D226" t="inlineStr"/>
      <c r="E226" t="inlineStr"/>
      <c r="I226" t="inlineStr">
        <is>
          <t>BOOL</t>
        </is>
      </c>
      <c r="J226" t="inlineStr">
        <is>
          <t>&gt;</t>
        </is>
      </c>
      <c r="K226" t="n">
        <v>33</v>
      </c>
      <c r="L226" t="n">
        <v>0</v>
      </c>
      <c r="M22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6" t="inlineStr"/>
      <c r="P226" t="inlineStr"/>
    </row>
    <row r="227">
      <c r="A227" t="inlineStr">
        <is>
          <t>N1/2</t>
        </is>
      </c>
      <c r="B227" t="inlineStr"/>
      <c r="C227" t="inlineStr"/>
      <c r="D227" t="inlineStr"/>
      <c r="E227" t="inlineStr"/>
      <c r="I227" t="inlineStr">
        <is>
          <t>BOOL</t>
        </is>
      </c>
      <c r="J227" t="inlineStr">
        <is>
          <t>&gt;</t>
        </is>
      </c>
      <c r="K227" t="n">
        <v>33</v>
      </c>
      <c r="L227" t="n">
        <v>1</v>
      </c>
      <c r="M22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7" t="inlineStr"/>
      <c r="P227" t="inlineStr"/>
    </row>
    <row r="228">
      <c r="A228" t="inlineStr">
        <is>
          <t>N1/2</t>
        </is>
      </c>
      <c r="B228" t="inlineStr"/>
      <c r="C228" t="inlineStr"/>
      <c r="D228" t="inlineStr"/>
      <c r="E228" t="inlineStr"/>
      <c r="I228" t="inlineStr">
        <is>
          <t>BOOL</t>
        </is>
      </c>
      <c r="J228" t="inlineStr">
        <is>
          <t>&gt;</t>
        </is>
      </c>
      <c r="K228" t="n">
        <v>33</v>
      </c>
      <c r="L228" t="n">
        <v>2</v>
      </c>
      <c r="M22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8" t="inlineStr"/>
      <c r="P228" t="inlineStr"/>
    </row>
    <row r="229">
      <c r="A229" t="inlineStr">
        <is>
          <t>N1/2</t>
        </is>
      </c>
      <c r="B229" t="inlineStr"/>
      <c r="C229" t="inlineStr"/>
      <c r="D229" t="inlineStr"/>
      <c r="E229" t="inlineStr"/>
      <c r="I229" t="inlineStr">
        <is>
          <t>BOOL</t>
        </is>
      </c>
      <c r="J229" t="inlineStr">
        <is>
          <t>&gt;</t>
        </is>
      </c>
      <c r="K229" t="n">
        <v>33</v>
      </c>
      <c r="L229" t="n">
        <v>3</v>
      </c>
      <c r="M22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2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29" t="inlineStr"/>
      <c r="P229" t="inlineStr"/>
    </row>
    <row r="230">
      <c r="A230" t="inlineStr">
        <is>
          <t>N1/2</t>
        </is>
      </c>
      <c r="B230" t="inlineStr"/>
      <c r="C230" t="inlineStr"/>
      <c r="D230" t="inlineStr"/>
      <c r="E230" t="inlineStr"/>
      <c r="I230" t="inlineStr">
        <is>
          <t>BOOL</t>
        </is>
      </c>
      <c r="J230" t="inlineStr">
        <is>
          <t>&gt;</t>
        </is>
      </c>
      <c r="K230" t="n">
        <v>33</v>
      </c>
      <c r="L230" t="n">
        <v>4</v>
      </c>
      <c r="M23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0" t="inlineStr"/>
      <c r="P230" t="inlineStr"/>
    </row>
    <row r="231">
      <c r="A231" t="inlineStr">
        <is>
          <t>N1/2</t>
        </is>
      </c>
      <c r="B231" t="inlineStr"/>
      <c r="C231" t="inlineStr"/>
      <c r="D231" t="inlineStr"/>
      <c r="E231" t="inlineStr"/>
      <c r="I231" t="inlineStr">
        <is>
          <t>BOOL</t>
        </is>
      </c>
      <c r="J231" t="inlineStr">
        <is>
          <t>&gt;</t>
        </is>
      </c>
      <c r="K231" t="n">
        <v>33</v>
      </c>
      <c r="L231" t="n">
        <v>5</v>
      </c>
      <c r="M23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1" t="inlineStr"/>
      <c r="P231" t="inlineStr"/>
    </row>
    <row r="232">
      <c r="A232" t="inlineStr">
        <is>
          <t>N1/2</t>
        </is>
      </c>
      <c r="B232" t="inlineStr"/>
      <c r="C232" t="inlineStr"/>
      <c r="D232" t="inlineStr"/>
      <c r="E232" t="inlineStr"/>
      <c r="I232" t="inlineStr">
        <is>
          <t>BOOL</t>
        </is>
      </c>
      <c r="J232" t="inlineStr">
        <is>
          <t>&gt;</t>
        </is>
      </c>
      <c r="K232" t="n">
        <v>33</v>
      </c>
      <c r="L232" t="n">
        <v>6</v>
      </c>
      <c r="M23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2" t="inlineStr"/>
      <c r="P232" t="inlineStr"/>
    </row>
    <row r="233">
      <c r="A233" t="inlineStr">
        <is>
          <t>N1/2</t>
        </is>
      </c>
      <c r="B233" t="inlineStr"/>
      <c r="C233" t="inlineStr"/>
      <c r="D233" t="inlineStr"/>
      <c r="E233" t="inlineStr"/>
      <c r="I233" t="inlineStr">
        <is>
          <t>BOOL</t>
        </is>
      </c>
      <c r="J233" t="inlineStr">
        <is>
          <t>&gt;</t>
        </is>
      </c>
      <c r="K233" t="n">
        <v>33</v>
      </c>
      <c r="L233" t="n">
        <v>7</v>
      </c>
      <c r="M23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3" t="inlineStr"/>
      <c r="P233" t="inlineStr"/>
    </row>
    <row r="235">
      <c r="A235" t="inlineStr">
        <is>
          <t>N2/2</t>
        </is>
      </c>
      <c r="B235" t="inlineStr">
        <is>
          <t>Safety Encoder 0001 Sensor 2 [ =S1+PC1.CC1-X81001 ]</t>
        </is>
      </c>
      <c r="C235" t="inlineStr">
        <is>
          <t>=S1</t>
        </is>
      </c>
      <c r="D235" t="inlineStr">
        <is>
          <t>+PC1.CC1</t>
        </is>
      </c>
      <c r="E235" t="inlineStr">
        <is>
          <t>-X81001</t>
        </is>
      </c>
      <c r="F235" t="inlineStr">
        <is>
          <t>011</t>
        </is>
      </c>
      <c r="H235" t="inlineStr">
        <is>
          <t>01</t>
        </is>
      </c>
      <c r="I235" t="inlineStr">
        <is>
          <t>BOOL</t>
        </is>
      </c>
      <c r="J235" t="inlineStr">
        <is>
          <t>&gt;</t>
        </is>
      </c>
      <c r="K235" t="n">
        <v>34</v>
      </c>
      <c r="L235" t="n">
        <v>0</v>
      </c>
      <c r="M23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5" t="inlineStr">
        <is>
          <t>PNC_Q_SORTER-02_Safety Encoder 0001 Sensor 2 [ =S1+PC1.CC1-X81001 ]</t>
        </is>
      </c>
      <c r="P235" t="inlineStr">
        <is>
          <t>"04_SPEED"."Safety Encoder 0001 Sensor 2 Healthy [ =S1+PC1.CC1-X81001 ]"</t>
        </is>
      </c>
    </row>
    <row r="236">
      <c r="A236" t="inlineStr">
        <is>
          <t>N2/2</t>
        </is>
      </c>
      <c r="B236" t="inlineStr">
        <is>
          <t>Safety Encoder 0002 Sensor 2 [ =S2+PC2.CC1-X81001 ]</t>
        </is>
      </c>
      <c r="C236" t="inlineStr">
        <is>
          <t>=S2</t>
        </is>
      </c>
      <c r="D236" t="inlineStr">
        <is>
          <t>+PC2.CC1</t>
        </is>
      </c>
      <c r="E236" t="inlineStr">
        <is>
          <t>-X81001</t>
        </is>
      </c>
      <c r="F236" t="inlineStr">
        <is>
          <t>011</t>
        </is>
      </c>
      <c r="H236" t="inlineStr">
        <is>
          <t>03</t>
        </is>
      </c>
      <c r="I236" t="inlineStr">
        <is>
          <t>BOOL</t>
        </is>
      </c>
      <c r="J236" t="inlineStr">
        <is>
          <t>&gt;</t>
        </is>
      </c>
      <c r="K236" t="n">
        <v>34</v>
      </c>
      <c r="L236" t="n">
        <v>1</v>
      </c>
      <c r="M23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6" t="inlineStr">
        <is>
          <t>PNC_Q_SORTER-02_Safety Encoder 0002 Sensor 2 [ =S2+PC2.CC1-X81001 ]</t>
        </is>
      </c>
      <c r="P236" t="inlineStr">
        <is>
          <t>"04_SPEED"."Safety Encoder 0002 Sensor 2 Healthy [ =S2+PC2.CC1-X81001 ]"</t>
        </is>
      </c>
    </row>
    <row r="237">
      <c r="A237" t="inlineStr">
        <is>
          <t>N2/2</t>
        </is>
      </c>
      <c r="B237" t="inlineStr"/>
      <c r="C237" t="inlineStr"/>
      <c r="D237" t="inlineStr"/>
      <c r="E237" t="inlineStr"/>
      <c r="I237" t="inlineStr">
        <is>
          <t>BOOL</t>
        </is>
      </c>
      <c r="J237" t="inlineStr">
        <is>
          <t>&gt;</t>
        </is>
      </c>
      <c r="K237" t="n">
        <v>34</v>
      </c>
      <c r="L237" t="n">
        <v>2</v>
      </c>
      <c r="M23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7" t="inlineStr"/>
      <c r="P237" t="inlineStr"/>
    </row>
    <row r="238">
      <c r="A238" t="inlineStr">
        <is>
          <t>N2/2</t>
        </is>
      </c>
      <c r="B238" t="inlineStr"/>
      <c r="C238" t="inlineStr"/>
      <c r="D238" t="inlineStr"/>
      <c r="E238" t="inlineStr"/>
      <c r="I238" t="inlineStr">
        <is>
          <t>BOOL</t>
        </is>
      </c>
      <c r="J238" t="inlineStr">
        <is>
          <t>&gt;</t>
        </is>
      </c>
      <c r="K238" t="n">
        <v>34</v>
      </c>
      <c r="L238" t="n">
        <v>3</v>
      </c>
      <c r="M23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8" t="inlineStr"/>
      <c r="P238" t="inlineStr"/>
    </row>
    <row r="239">
      <c r="A239" t="inlineStr">
        <is>
          <t>N2/2</t>
        </is>
      </c>
      <c r="B239" t="inlineStr"/>
      <c r="C239" t="inlineStr"/>
      <c r="D239" t="inlineStr"/>
      <c r="E239" t="inlineStr"/>
      <c r="I239" t="inlineStr">
        <is>
          <t>BOOL</t>
        </is>
      </c>
      <c r="J239" t="inlineStr">
        <is>
          <t>&gt;</t>
        </is>
      </c>
      <c r="K239" t="n">
        <v>34</v>
      </c>
      <c r="L239" t="n">
        <v>4</v>
      </c>
      <c r="M23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3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39" t="inlineStr"/>
      <c r="P239" t="inlineStr"/>
    </row>
    <row r="240">
      <c r="A240" t="inlineStr">
        <is>
          <t>N2/2</t>
        </is>
      </c>
      <c r="B240" t="inlineStr"/>
      <c r="C240" t="inlineStr"/>
      <c r="D240" t="inlineStr"/>
      <c r="E240" t="inlineStr"/>
      <c r="I240" t="inlineStr">
        <is>
          <t>BOOL</t>
        </is>
      </c>
      <c r="J240" t="inlineStr">
        <is>
          <t>&gt;</t>
        </is>
      </c>
      <c r="K240" t="n">
        <v>34</v>
      </c>
      <c r="L240" t="n">
        <v>5</v>
      </c>
      <c r="M24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0" t="inlineStr"/>
      <c r="P240" t="inlineStr"/>
    </row>
    <row r="241">
      <c r="A241" t="inlineStr">
        <is>
          <t>N2/2</t>
        </is>
      </c>
      <c r="B241" t="inlineStr"/>
      <c r="C241" t="inlineStr"/>
      <c r="D241" t="inlineStr"/>
      <c r="E241" t="inlineStr"/>
      <c r="I241" t="inlineStr">
        <is>
          <t>BOOL</t>
        </is>
      </c>
      <c r="J241" t="inlineStr">
        <is>
          <t>&gt;</t>
        </is>
      </c>
      <c r="K241" t="n">
        <v>34</v>
      </c>
      <c r="L241" t="n">
        <v>6</v>
      </c>
      <c r="M24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1" t="inlineStr"/>
      <c r="P241" t="inlineStr"/>
    </row>
    <row r="242">
      <c r="A242" t="inlineStr">
        <is>
          <t>N2/2</t>
        </is>
      </c>
      <c r="B242" t="inlineStr"/>
      <c r="C242" t="inlineStr"/>
      <c r="D242" t="inlineStr"/>
      <c r="E242" t="inlineStr"/>
      <c r="I242" t="inlineStr">
        <is>
          <t>BOOL</t>
        </is>
      </c>
      <c r="J242" t="inlineStr">
        <is>
          <t>&gt;</t>
        </is>
      </c>
      <c r="K242" t="n">
        <v>34</v>
      </c>
      <c r="L242" t="n">
        <v>7</v>
      </c>
      <c r="M24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2" t="inlineStr"/>
      <c r="P242" t="inlineStr"/>
    </row>
    <row r="243">
      <c r="A243" t="inlineStr">
        <is>
          <t>N2/2</t>
        </is>
      </c>
      <c r="B243" t="inlineStr"/>
      <c r="C243" t="inlineStr"/>
      <c r="D243" t="inlineStr"/>
      <c r="E243" t="inlineStr"/>
      <c r="I243" t="inlineStr">
        <is>
          <t>BOOL</t>
        </is>
      </c>
      <c r="J243" t="inlineStr">
        <is>
          <t>&gt;</t>
        </is>
      </c>
      <c r="K243" t="n">
        <v>35</v>
      </c>
      <c r="L243" t="n">
        <v>0</v>
      </c>
      <c r="M24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3" t="inlineStr"/>
      <c r="P243" t="inlineStr"/>
    </row>
    <row r="244">
      <c r="A244" t="inlineStr">
        <is>
          <t>N2/2</t>
        </is>
      </c>
      <c r="B244" t="inlineStr"/>
      <c r="C244" t="inlineStr"/>
      <c r="D244" t="inlineStr"/>
      <c r="E244" t="inlineStr"/>
      <c r="I244" t="inlineStr">
        <is>
          <t>BOOL</t>
        </is>
      </c>
      <c r="J244" t="inlineStr">
        <is>
          <t>&gt;</t>
        </is>
      </c>
      <c r="K244" t="n">
        <v>35</v>
      </c>
      <c r="L244" t="n">
        <v>1</v>
      </c>
      <c r="M24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4" t="inlineStr"/>
      <c r="P244" t="inlineStr"/>
    </row>
    <row r="245">
      <c r="A245" t="inlineStr">
        <is>
          <t>N2/2</t>
        </is>
      </c>
      <c r="B245" t="inlineStr"/>
      <c r="C245" t="inlineStr"/>
      <c r="D245" t="inlineStr"/>
      <c r="E245" t="inlineStr"/>
      <c r="I245" t="inlineStr">
        <is>
          <t>BOOL</t>
        </is>
      </c>
      <c r="J245" t="inlineStr">
        <is>
          <t>&gt;</t>
        </is>
      </c>
      <c r="K245" t="n">
        <v>35</v>
      </c>
      <c r="L245" t="n">
        <v>2</v>
      </c>
      <c r="M24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5" t="inlineStr"/>
      <c r="P245" t="inlineStr"/>
    </row>
    <row r="246">
      <c r="A246" t="inlineStr">
        <is>
          <t>N2/2</t>
        </is>
      </c>
      <c r="B246" t="inlineStr"/>
      <c r="C246" t="inlineStr"/>
      <c r="D246" t="inlineStr"/>
      <c r="E246" t="inlineStr"/>
      <c r="I246" t="inlineStr">
        <is>
          <t>BOOL</t>
        </is>
      </c>
      <c r="J246" t="inlineStr">
        <is>
          <t>&gt;</t>
        </is>
      </c>
      <c r="K246" t="n">
        <v>35</v>
      </c>
      <c r="L246" t="n">
        <v>3</v>
      </c>
      <c r="M24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6" t="inlineStr"/>
      <c r="P246" t="inlineStr"/>
    </row>
    <row r="247">
      <c r="A247" t="inlineStr">
        <is>
          <t>N2/2</t>
        </is>
      </c>
      <c r="B247" t="inlineStr"/>
      <c r="C247" t="inlineStr"/>
      <c r="D247" t="inlineStr"/>
      <c r="E247" t="inlineStr"/>
      <c r="I247" t="inlineStr">
        <is>
          <t>BOOL</t>
        </is>
      </c>
      <c r="J247" t="inlineStr">
        <is>
          <t>&gt;</t>
        </is>
      </c>
      <c r="K247" t="n">
        <v>35</v>
      </c>
      <c r="L247" t="n">
        <v>4</v>
      </c>
      <c r="M24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7" t="inlineStr"/>
      <c r="P247" t="inlineStr"/>
    </row>
    <row r="248">
      <c r="A248" t="inlineStr">
        <is>
          <t>N2/2</t>
        </is>
      </c>
      <c r="B248" t="inlineStr"/>
      <c r="C248" t="inlineStr"/>
      <c r="D248" t="inlineStr"/>
      <c r="E248" t="inlineStr"/>
      <c r="I248" t="inlineStr">
        <is>
          <t>BOOL</t>
        </is>
      </c>
      <c r="J248" t="inlineStr">
        <is>
          <t>&gt;</t>
        </is>
      </c>
      <c r="K248" t="n">
        <v>35</v>
      </c>
      <c r="L248" t="n">
        <v>5</v>
      </c>
      <c r="M24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8" t="inlineStr"/>
      <c r="P248" t="inlineStr"/>
    </row>
    <row r="249">
      <c r="A249" t="inlineStr">
        <is>
          <t>N2/2</t>
        </is>
      </c>
      <c r="B249" t="inlineStr"/>
      <c r="C249" t="inlineStr"/>
      <c r="D249" t="inlineStr"/>
      <c r="E249" t="inlineStr"/>
      <c r="I249" t="inlineStr">
        <is>
          <t>BOOL</t>
        </is>
      </c>
      <c r="J249" t="inlineStr">
        <is>
          <t>&gt;</t>
        </is>
      </c>
      <c r="K249" t="n">
        <v>35</v>
      </c>
      <c r="L249" t="n">
        <v>6</v>
      </c>
      <c r="M24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4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49" t="inlineStr"/>
      <c r="P249" t="inlineStr"/>
    </row>
    <row r="250">
      <c r="A250" t="inlineStr">
        <is>
          <t>N2/2</t>
        </is>
      </c>
      <c r="B250" t="inlineStr"/>
      <c r="C250" t="inlineStr"/>
      <c r="D250" t="inlineStr"/>
      <c r="E250" t="inlineStr"/>
      <c r="I250" t="inlineStr">
        <is>
          <t>BOOL</t>
        </is>
      </c>
      <c r="J250" t="inlineStr">
        <is>
          <t>&gt;</t>
        </is>
      </c>
      <c r="K250" t="n">
        <v>35</v>
      </c>
      <c r="L250" t="n">
        <v>7</v>
      </c>
      <c r="M25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0" t="inlineStr"/>
      <c r="P250" t="inlineStr"/>
    </row>
    <row r="252">
      <c r="A252" t="inlineStr">
        <is>
          <t>DI1/2</t>
        </is>
      </c>
      <c r="B252" t="inlineStr">
        <is>
          <t>Door Closed Safety Input 1 [ =S1+SG1-B1 ]</t>
        </is>
      </c>
      <c r="C252" t="inlineStr">
        <is>
          <t>=S1</t>
        </is>
      </c>
      <c r="D252" t="inlineStr">
        <is>
          <t>+SG1</t>
        </is>
      </c>
      <c r="E252" t="inlineStr">
        <is>
          <t>-B1</t>
        </is>
      </c>
      <c r="F252" t="inlineStr">
        <is>
          <t>010</t>
        </is>
      </c>
      <c r="H252" t="inlineStr">
        <is>
          <t>01</t>
        </is>
      </c>
      <c r="I252" t="inlineStr">
        <is>
          <t>BOOL</t>
        </is>
      </c>
      <c r="J252" t="inlineStr">
        <is>
          <t>&gt;</t>
        </is>
      </c>
      <c r="K252" t="n">
        <v>36</v>
      </c>
      <c r="L252" t="n">
        <v>0</v>
      </c>
      <c r="M25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2" t="inlineStr">
        <is>
          <t>PNC_Q_SORTER-02_Door Closed SAFE_STATE [ =S1+SG1-B1 ]</t>
        </is>
      </c>
      <c r="P252" t="inlineStr">
        <is>
          <t>"07_DOOR"."Door Closed SAFE_STATE [ =S1+SG1-B1 ]"</t>
        </is>
      </c>
    </row>
    <row r="253">
      <c r="A253" t="inlineStr">
        <is>
          <t>DI1/2</t>
        </is>
      </c>
      <c r="B253" t="inlineStr">
        <is>
          <t>Door Closed Safety Input 1 [ =S1+SG2-B1 ]</t>
        </is>
      </c>
      <c r="C253" t="inlineStr">
        <is>
          <t>=S1</t>
        </is>
      </c>
      <c r="D253" t="inlineStr">
        <is>
          <t>+SG2</t>
        </is>
      </c>
      <c r="E253" t="inlineStr">
        <is>
          <t>-B1</t>
        </is>
      </c>
      <c r="F253" t="inlineStr">
        <is>
          <t>010</t>
        </is>
      </c>
      <c r="H253" t="inlineStr">
        <is>
          <t>03</t>
        </is>
      </c>
      <c r="I253" t="inlineStr">
        <is>
          <t>BOOL</t>
        </is>
      </c>
      <c r="J253" t="inlineStr">
        <is>
          <t>&gt;</t>
        </is>
      </c>
      <c r="K253" t="n">
        <v>36</v>
      </c>
      <c r="L253" t="n">
        <v>1</v>
      </c>
      <c r="M25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3" t="inlineStr">
        <is>
          <t>PNC_Q_SORTER-02_Door Closed SAFE_STATE [ =S1+SG2-B1 ]</t>
        </is>
      </c>
      <c r="P253" t="inlineStr">
        <is>
          <t>"07_DOOR"."Door Closed SAFE_STATE [ =S1+SG2-B1 ]"</t>
        </is>
      </c>
    </row>
    <row r="254">
      <c r="A254" t="inlineStr">
        <is>
          <t>DI1/2</t>
        </is>
      </c>
      <c r="B254" t="inlineStr">
        <is>
          <t>Door Closed Safety Input 1 [ =S2+SG3-B1 ]</t>
        </is>
      </c>
      <c r="C254" t="inlineStr">
        <is>
          <t>=S2</t>
        </is>
      </c>
      <c r="D254" t="inlineStr">
        <is>
          <t>+SG3</t>
        </is>
      </c>
      <c r="E254" t="inlineStr">
        <is>
          <t>-B1</t>
        </is>
      </c>
      <c r="F254" t="inlineStr">
        <is>
          <t>010</t>
        </is>
      </c>
      <c r="H254" t="inlineStr">
        <is>
          <t>05</t>
        </is>
      </c>
      <c r="I254" t="inlineStr">
        <is>
          <t>BOOL</t>
        </is>
      </c>
      <c r="J254" t="inlineStr">
        <is>
          <t>&gt;</t>
        </is>
      </c>
      <c r="K254" t="n">
        <v>36</v>
      </c>
      <c r="L254" t="n">
        <v>2</v>
      </c>
      <c r="M25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4" t="inlineStr">
        <is>
          <t>PNC_Q_SORTER-02_Door Closed SAFE_STATE [ =S2+SG3-B1 ]</t>
        </is>
      </c>
      <c r="P254" t="inlineStr">
        <is>
          <t>"07_DOOR"."Door Closed SAFE_STATE [ =S2+SG3-B1 ]"</t>
        </is>
      </c>
    </row>
    <row r="255">
      <c r="A255" t="inlineStr">
        <is>
          <t>DI1/2</t>
        </is>
      </c>
      <c r="B255" t="inlineStr">
        <is>
          <t>Door Closed Safety Input 1 [ =S2+SG4-B1 ]</t>
        </is>
      </c>
      <c r="C255" t="inlineStr">
        <is>
          <t>=S2</t>
        </is>
      </c>
      <c r="D255" t="inlineStr">
        <is>
          <t>+SG4</t>
        </is>
      </c>
      <c r="E255" t="inlineStr">
        <is>
          <t>-B1</t>
        </is>
      </c>
      <c r="F255" t="inlineStr">
        <is>
          <t>010</t>
        </is>
      </c>
      <c r="H255" t="inlineStr">
        <is>
          <t>07</t>
        </is>
      </c>
      <c r="I255" t="inlineStr">
        <is>
          <t>BOOL</t>
        </is>
      </c>
      <c r="J255" t="inlineStr">
        <is>
          <t>&gt;</t>
        </is>
      </c>
      <c r="K255" t="n">
        <v>36</v>
      </c>
      <c r="L255" t="n">
        <v>3</v>
      </c>
      <c r="M25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5" t="inlineStr">
        <is>
          <t>PNC_Q_SORTER-02_Door Closed SAFE_STATE [ =S2+SG4-B1 ]</t>
        </is>
      </c>
      <c r="P255" t="inlineStr">
        <is>
          <t>"07_DOOR"."Door Closed SAFE_STATE [ =S2+SG4-B1 ]"</t>
        </is>
      </c>
    </row>
    <row r="256">
      <c r="A256" t="inlineStr">
        <is>
          <t>DI1/2</t>
        </is>
      </c>
      <c r="B256" t="inlineStr"/>
      <c r="C256" t="inlineStr"/>
      <c r="D256" t="inlineStr"/>
      <c r="E256" t="inlineStr"/>
      <c r="I256" t="inlineStr">
        <is>
          <t>BOOL</t>
        </is>
      </c>
      <c r="J256" t="inlineStr">
        <is>
          <t>&gt;</t>
        </is>
      </c>
      <c r="K256" t="n">
        <v>36</v>
      </c>
      <c r="L256" t="n">
        <v>4</v>
      </c>
      <c r="M25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6" t="inlineStr"/>
      <c r="P256" t="inlineStr"/>
    </row>
    <row r="257">
      <c r="A257" t="inlineStr">
        <is>
          <t>DI1/2</t>
        </is>
      </c>
      <c r="B257" t="inlineStr"/>
      <c r="C257" t="inlineStr"/>
      <c r="D257" t="inlineStr"/>
      <c r="E257" t="inlineStr"/>
      <c r="I257" t="inlineStr">
        <is>
          <t>BOOL</t>
        </is>
      </c>
      <c r="J257" t="inlineStr">
        <is>
          <t>&gt;</t>
        </is>
      </c>
      <c r="K257" t="n">
        <v>36</v>
      </c>
      <c r="L257" t="n">
        <v>5</v>
      </c>
      <c r="M25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7" t="inlineStr"/>
      <c r="P257" t="inlineStr"/>
    </row>
    <row r="258">
      <c r="A258" t="inlineStr">
        <is>
          <t>DI1/2</t>
        </is>
      </c>
      <c r="B258" t="inlineStr"/>
      <c r="C258" t="inlineStr"/>
      <c r="D258" t="inlineStr"/>
      <c r="E258" t="inlineStr"/>
      <c r="I258" t="inlineStr">
        <is>
          <t>BOOL</t>
        </is>
      </c>
      <c r="J258" t="inlineStr">
        <is>
          <t>&gt;</t>
        </is>
      </c>
      <c r="K258" t="n">
        <v>36</v>
      </c>
      <c r="L258" t="n">
        <v>6</v>
      </c>
      <c r="M25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8" t="inlineStr"/>
      <c r="P258" t="inlineStr"/>
    </row>
    <row r="259">
      <c r="A259" t="inlineStr">
        <is>
          <t>DI1/2</t>
        </is>
      </c>
      <c r="B259" t="inlineStr"/>
      <c r="C259" t="inlineStr"/>
      <c r="D259" t="inlineStr"/>
      <c r="E259" t="inlineStr"/>
      <c r="I259" t="inlineStr">
        <is>
          <t>BOOL</t>
        </is>
      </c>
      <c r="J259" t="inlineStr">
        <is>
          <t>&gt;</t>
        </is>
      </c>
      <c r="K259" t="n">
        <v>36</v>
      </c>
      <c r="L259" t="n">
        <v>7</v>
      </c>
      <c r="M25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5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59" t="inlineStr"/>
      <c r="P259" t="inlineStr"/>
    </row>
    <row r="260">
      <c r="A260" t="inlineStr">
        <is>
          <t>DI1/2</t>
        </is>
      </c>
      <c r="B260" t="inlineStr"/>
      <c r="C260" t="inlineStr"/>
      <c r="D260" t="inlineStr"/>
      <c r="E260" t="inlineStr"/>
      <c r="I260" t="inlineStr">
        <is>
          <t>BOOL</t>
        </is>
      </c>
      <c r="J260" t="inlineStr">
        <is>
          <t>&gt;</t>
        </is>
      </c>
      <c r="K260" t="n">
        <v>37</v>
      </c>
      <c r="L260" t="n">
        <v>0</v>
      </c>
      <c r="M26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0" t="inlineStr"/>
      <c r="P260" t="inlineStr"/>
    </row>
    <row r="261">
      <c r="A261" t="inlineStr">
        <is>
          <t>DI1/2</t>
        </is>
      </c>
      <c r="B261" t="inlineStr"/>
      <c r="C261" t="inlineStr"/>
      <c r="D261" t="inlineStr"/>
      <c r="E261" t="inlineStr"/>
      <c r="I261" t="inlineStr">
        <is>
          <t>BOOL</t>
        </is>
      </c>
      <c r="J261" t="inlineStr">
        <is>
          <t>&gt;</t>
        </is>
      </c>
      <c r="K261" t="n">
        <v>37</v>
      </c>
      <c r="L261" t="n">
        <v>1</v>
      </c>
      <c r="M26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1" t="inlineStr"/>
      <c r="P261" t="inlineStr"/>
    </row>
    <row r="262">
      <c r="A262" t="inlineStr">
        <is>
          <t>DI1/2</t>
        </is>
      </c>
      <c r="B262" t="inlineStr"/>
      <c r="C262" t="inlineStr"/>
      <c r="D262" t="inlineStr"/>
      <c r="E262" t="inlineStr"/>
      <c r="I262" t="inlineStr">
        <is>
          <t>BOOL</t>
        </is>
      </c>
      <c r="J262" t="inlineStr">
        <is>
          <t>&gt;</t>
        </is>
      </c>
      <c r="K262" t="n">
        <v>37</v>
      </c>
      <c r="L262" t="n">
        <v>2</v>
      </c>
      <c r="M26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2" t="inlineStr"/>
      <c r="P262" t="inlineStr"/>
    </row>
    <row r="263">
      <c r="A263" t="inlineStr">
        <is>
          <t>DI1/2</t>
        </is>
      </c>
      <c r="B263" t="inlineStr"/>
      <c r="C263" t="inlineStr"/>
      <c r="D263" t="inlineStr"/>
      <c r="E263" t="inlineStr"/>
      <c r="I263" t="inlineStr">
        <is>
          <t>BOOL</t>
        </is>
      </c>
      <c r="J263" t="inlineStr">
        <is>
          <t>&gt;</t>
        </is>
      </c>
      <c r="K263" t="n">
        <v>37</v>
      </c>
      <c r="L263" t="n">
        <v>3</v>
      </c>
      <c r="M26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3" t="inlineStr"/>
      <c r="P263" t="inlineStr"/>
    </row>
    <row r="264">
      <c r="A264" t="inlineStr">
        <is>
          <t>DI1/2</t>
        </is>
      </c>
      <c r="B264" t="inlineStr"/>
      <c r="C264" t="inlineStr"/>
      <c r="D264" t="inlineStr"/>
      <c r="E264" t="inlineStr"/>
      <c r="I264" t="inlineStr">
        <is>
          <t>BOOL</t>
        </is>
      </c>
      <c r="J264" t="inlineStr">
        <is>
          <t>&gt;</t>
        </is>
      </c>
      <c r="K264" t="n">
        <v>37</v>
      </c>
      <c r="L264" t="n">
        <v>4</v>
      </c>
      <c r="M26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4" t="inlineStr"/>
      <c r="P264" t="inlineStr"/>
    </row>
    <row r="265">
      <c r="A265" t="inlineStr">
        <is>
          <t>DI1/2</t>
        </is>
      </c>
      <c r="B265" t="inlineStr"/>
      <c r="C265" t="inlineStr"/>
      <c r="D265" t="inlineStr"/>
      <c r="E265" t="inlineStr"/>
      <c r="I265" t="inlineStr">
        <is>
          <t>BOOL</t>
        </is>
      </c>
      <c r="J265" t="inlineStr">
        <is>
          <t>&gt;</t>
        </is>
      </c>
      <c r="K265" t="n">
        <v>37</v>
      </c>
      <c r="L265" t="n">
        <v>5</v>
      </c>
      <c r="M26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5" t="inlineStr"/>
      <c r="P265" t="inlineStr"/>
    </row>
    <row r="266">
      <c r="A266" t="inlineStr">
        <is>
          <t>DI1/2</t>
        </is>
      </c>
      <c r="B266" t="inlineStr"/>
      <c r="C266" t="inlineStr"/>
      <c r="D266" t="inlineStr"/>
      <c r="E266" t="inlineStr"/>
      <c r="I266" t="inlineStr">
        <is>
          <t>BOOL</t>
        </is>
      </c>
      <c r="J266" t="inlineStr">
        <is>
          <t>&gt;</t>
        </is>
      </c>
      <c r="K266" t="n">
        <v>37</v>
      </c>
      <c r="L266" t="n">
        <v>6</v>
      </c>
      <c r="M26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6" t="inlineStr"/>
      <c r="P266" t="inlineStr"/>
    </row>
    <row r="267">
      <c r="A267" t="inlineStr">
        <is>
          <t>DI1/2</t>
        </is>
      </c>
      <c r="B267" t="inlineStr"/>
      <c r="C267" t="inlineStr"/>
      <c r="D267" t="inlineStr"/>
      <c r="E267" t="inlineStr"/>
      <c r="I267" t="inlineStr">
        <is>
          <t>BOOL</t>
        </is>
      </c>
      <c r="J267" t="inlineStr">
        <is>
          <t>&gt;</t>
        </is>
      </c>
      <c r="K267" t="n">
        <v>37</v>
      </c>
      <c r="L267" t="n">
        <v>7</v>
      </c>
      <c r="M26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7" t="inlineStr"/>
      <c r="P267" t="inlineStr"/>
    </row>
    <row r="269">
      <c r="A269" t="inlineStr">
        <is>
          <t>DD</t>
        </is>
      </c>
      <c r="B269" t="inlineStr">
        <is>
          <t>Door Closed Diagnosis Input [ =S1+SG1-B1 ]</t>
        </is>
      </c>
      <c r="C269" t="inlineStr">
        <is>
          <t>=S1</t>
        </is>
      </c>
      <c r="D269" t="inlineStr">
        <is>
          <t>+SG1</t>
        </is>
      </c>
      <c r="E269" t="inlineStr">
        <is>
          <t>-B1</t>
        </is>
      </c>
      <c r="F269" t="inlineStr">
        <is>
          <t>010</t>
        </is>
      </c>
      <c r="H269" t="inlineStr">
        <is>
          <t>02</t>
        </is>
      </c>
      <c r="I269" t="inlineStr">
        <is>
          <t>BOOL</t>
        </is>
      </c>
      <c r="J269" t="inlineStr">
        <is>
          <t>&gt;</t>
        </is>
      </c>
      <c r="K269" t="n">
        <v>38</v>
      </c>
      <c r="L269" t="n">
        <v>0</v>
      </c>
      <c r="M26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6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69" t="inlineStr">
        <is>
          <t>PNC_Q_SORTER-02_Door Alarm [ =S1+SG1-B1 ]</t>
        </is>
      </c>
      <c r="P269" t="inlineStr">
        <is>
          <t>"07_DOOR"."Door Alarm [ =S1+SG1-B1 ]"</t>
        </is>
      </c>
    </row>
    <row r="270">
      <c r="A270" t="inlineStr">
        <is>
          <t>DD</t>
        </is>
      </c>
      <c r="B270" t="inlineStr">
        <is>
          <t>Door Closed Diagnosis Input [ =S1+SG2-B1 ]</t>
        </is>
      </c>
      <c r="C270" t="inlineStr">
        <is>
          <t>=S1</t>
        </is>
      </c>
      <c r="D270" t="inlineStr">
        <is>
          <t>+SG2</t>
        </is>
      </c>
      <c r="E270" t="inlineStr">
        <is>
          <t>-B1</t>
        </is>
      </c>
      <c r="F270" t="inlineStr">
        <is>
          <t>010</t>
        </is>
      </c>
      <c r="H270" t="inlineStr">
        <is>
          <t>04</t>
        </is>
      </c>
      <c r="I270" t="inlineStr">
        <is>
          <t>BOOL</t>
        </is>
      </c>
      <c r="J270" t="inlineStr">
        <is>
          <t>&gt;</t>
        </is>
      </c>
      <c r="K270" t="n">
        <v>38</v>
      </c>
      <c r="L270" t="n">
        <v>1</v>
      </c>
      <c r="M27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0" t="inlineStr">
        <is>
          <t>PNC_Q_SORTER-02_Door Alarm [ =S1+SG2-B1 ]</t>
        </is>
      </c>
      <c r="P270" t="inlineStr">
        <is>
          <t>"07_DOOR"."Door Alarm [ =S1+SG2-B1 ]"</t>
        </is>
      </c>
    </row>
    <row r="271">
      <c r="A271" t="inlineStr">
        <is>
          <t>DD</t>
        </is>
      </c>
      <c r="B271" t="inlineStr">
        <is>
          <t>Door Closed Diagnosis Input [ =S2+SG3-B1 ]</t>
        </is>
      </c>
      <c r="C271" t="inlineStr">
        <is>
          <t>=S2</t>
        </is>
      </c>
      <c r="D271" t="inlineStr">
        <is>
          <t>+SG3</t>
        </is>
      </c>
      <c r="E271" t="inlineStr">
        <is>
          <t>-B1</t>
        </is>
      </c>
      <c r="F271" t="inlineStr">
        <is>
          <t>010</t>
        </is>
      </c>
      <c r="H271" t="inlineStr">
        <is>
          <t>06</t>
        </is>
      </c>
      <c r="I271" t="inlineStr">
        <is>
          <t>BOOL</t>
        </is>
      </c>
      <c r="J271" t="inlineStr">
        <is>
          <t>&gt;</t>
        </is>
      </c>
      <c r="K271" t="n">
        <v>38</v>
      </c>
      <c r="L271" t="n">
        <v>2</v>
      </c>
      <c r="M27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1" t="inlineStr">
        <is>
          <t>PNC_Q_SORTER-02_Door Alarm [ =S2+SG3-B1 ]</t>
        </is>
      </c>
      <c r="P271" t="inlineStr">
        <is>
          <t>"07_DOOR"."Door Alarm [ =S2+SG3-B1 ]"</t>
        </is>
      </c>
    </row>
    <row r="272">
      <c r="A272" t="inlineStr">
        <is>
          <t>DD</t>
        </is>
      </c>
      <c r="B272" t="inlineStr">
        <is>
          <t>Door Closed Diagnosis Input [ =S2+SG4-B1 ]</t>
        </is>
      </c>
      <c r="C272" t="inlineStr">
        <is>
          <t>=S2</t>
        </is>
      </c>
      <c r="D272" t="inlineStr">
        <is>
          <t>+SG4</t>
        </is>
      </c>
      <c r="E272" t="inlineStr">
        <is>
          <t>-B1</t>
        </is>
      </c>
      <c r="F272" t="inlineStr">
        <is>
          <t>010</t>
        </is>
      </c>
      <c r="H272" t="inlineStr">
        <is>
          <t>08</t>
        </is>
      </c>
      <c r="I272" t="inlineStr">
        <is>
          <t>BOOL</t>
        </is>
      </c>
      <c r="J272" t="inlineStr">
        <is>
          <t>&gt;</t>
        </is>
      </c>
      <c r="K272" t="n">
        <v>38</v>
      </c>
      <c r="L272" t="n">
        <v>3</v>
      </c>
      <c r="M27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2" t="inlineStr">
        <is>
          <t>PNC_Q_SORTER-02_Door Alarm [ =S2+SG4-B1 ]</t>
        </is>
      </c>
      <c r="P272" t="inlineStr">
        <is>
          <t>"07_DOOR"."Door Alarm [ =S2+SG4-B1 ]"</t>
        </is>
      </c>
    </row>
    <row r="273">
      <c r="A273" t="inlineStr">
        <is>
          <t>DD</t>
        </is>
      </c>
      <c r="B273" t="inlineStr"/>
      <c r="C273" t="inlineStr"/>
      <c r="D273" t="inlineStr"/>
      <c r="E273" t="inlineStr"/>
      <c r="I273" t="inlineStr">
        <is>
          <t>BOOL</t>
        </is>
      </c>
      <c r="J273" t="inlineStr">
        <is>
          <t>&gt;</t>
        </is>
      </c>
      <c r="K273" t="n">
        <v>38</v>
      </c>
      <c r="L273" t="n">
        <v>4</v>
      </c>
      <c r="M27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3" t="inlineStr"/>
      <c r="P273" t="inlineStr"/>
    </row>
    <row r="274">
      <c r="A274" t="inlineStr">
        <is>
          <t>DD</t>
        </is>
      </c>
      <c r="B274" t="inlineStr"/>
      <c r="C274" t="inlineStr"/>
      <c r="D274" t="inlineStr"/>
      <c r="E274" t="inlineStr"/>
      <c r="I274" t="inlineStr">
        <is>
          <t>BOOL</t>
        </is>
      </c>
      <c r="J274" t="inlineStr">
        <is>
          <t>&gt;</t>
        </is>
      </c>
      <c r="K274" t="n">
        <v>38</v>
      </c>
      <c r="L274" t="n">
        <v>5</v>
      </c>
      <c r="M27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4" t="inlineStr"/>
      <c r="P274" t="inlineStr"/>
    </row>
    <row r="275">
      <c r="A275" t="inlineStr">
        <is>
          <t>DD</t>
        </is>
      </c>
      <c r="B275" t="inlineStr"/>
      <c r="C275" t="inlineStr"/>
      <c r="D275" t="inlineStr"/>
      <c r="E275" t="inlineStr"/>
      <c r="I275" t="inlineStr">
        <is>
          <t>BOOL</t>
        </is>
      </c>
      <c r="J275" t="inlineStr">
        <is>
          <t>&gt;</t>
        </is>
      </c>
      <c r="K275" t="n">
        <v>38</v>
      </c>
      <c r="L275" t="n">
        <v>6</v>
      </c>
      <c r="M27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5" t="inlineStr"/>
      <c r="P275" t="inlineStr"/>
    </row>
    <row r="276">
      <c r="A276" t="inlineStr">
        <is>
          <t>DD</t>
        </is>
      </c>
      <c r="B276" t="inlineStr"/>
      <c r="C276" t="inlineStr"/>
      <c r="D276" t="inlineStr"/>
      <c r="E276" t="inlineStr"/>
      <c r="I276" t="inlineStr">
        <is>
          <t>BOOL</t>
        </is>
      </c>
      <c r="J276" t="inlineStr">
        <is>
          <t>&gt;</t>
        </is>
      </c>
      <c r="K276" t="n">
        <v>38</v>
      </c>
      <c r="L276" t="n">
        <v>7</v>
      </c>
      <c r="M27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6" t="inlineStr"/>
      <c r="P276" t="inlineStr"/>
    </row>
    <row r="277">
      <c r="A277" t="inlineStr">
        <is>
          <t>DD</t>
        </is>
      </c>
      <c r="B277" t="inlineStr"/>
      <c r="C277" t="inlineStr"/>
      <c r="D277" t="inlineStr"/>
      <c r="E277" t="inlineStr"/>
      <c r="I277" t="inlineStr">
        <is>
          <t>BOOL</t>
        </is>
      </c>
      <c r="J277" t="inlineStr">
        <is>
          <t>&gt;</t>
        </is>
      </c>
      <c r="K277" t="n">
        <v>39</v>
      </c>
      <c r="L277" t="n">
        <v>0</v>
      </c>
      <c r="M27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7" t="inlineStr"/>
      <c r="P277" t="inlineStr"/>
    </row>
    <row r="278">
      <c r="A278" t="inlineStr">
        <is>
          <t>DD</t>
        </is>
      </c>
      <c r="B278" t="inlineStr"/>
      <c r="C278" t="inlineStr"/>
      <c r="D278" t="inlineStr"/>
      <c r="E278" t="inlineStr"/>
      <c r="I278" t="inlineStr">
        <is>
          <t>BOOL</t>
        </is>
      </c>
      <c r="J278" t="inlineStr">
        <is>
          <t>&gt;</t>
        </is>
      </c>
      <c r="K278" t="n">
        <v>39</v>
      </c>
      <c r="L278" t="n">
        <v>1</v>
      </c>
      <c r="M27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8" t="inlineStr"/>
      <c r="P278" t="inlineStr"/>
    </row>
    <row r="279">
      <c r="A279" t="inlineStr">
        <is>
          <t>DD</t>
        </is>
      </c>
      <c r="B279" t="inlineStr"/>
      <c r="C279" t="inlineStr"/>
      <c r="D279" t="inlineStr"/>
      <c r="E279" t="inlineStr"/>
      <c r="I279" t="inlineStr">
        <is>
          <t>BOOL</t>
        </is>
      </c>
      <c r="J279" t="inlineStr">
        <is>
          <t>&gt;</t>
        </is>
      </c>
      <c r="K279" t="n">
        <v>39</v>
      </c>
      <c r="L279" t="n">
        <v>2</v>
      </c>
      <c r="M27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7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79" t="inlineStr"/>
      <c r="P279" t="inlineStr"/>
    </row>
    <row r="280">
      <c r="A280" t="inlineStr">
        <is>
          <t>DD</t>
        </is>
      </c>
      <c r="B280" t="inlineStr"/>
      <c r="C280" t="inlineStr"/>
      <c r="D280" t="inlineStr"/>
      <c r="E280" t="inlineStr"/>
      <c r="I280" t="inlineStr">
        <is>
          <t>BOOL</t>
        </is>
      </c>
      <c r="J280" t="inlineStr">
        <is>
          <t>&gt;</t>
        </is>
      </c>
      <c r="K280" t="n">
        <v>39</v>
      </c>
      <c r="L280" t="n">
        <v>3</v>
      </c>
      <c r="M28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0" t="inlineStr"/>
      <c r="P280" t="inlineStr"/>
    </row>
    <row r="281">
      <c r="A281" t="inlineStr">
        <is>
          <t>DD</t>
        </is>
      </c>
      <c r="B281" t="inlineStr"/>
      <c r="C281" t="inlineStr"/>
      <c r="D281" t="inlineStr"/>
      <c r="E281" t="inlineStr"/>
      <c r="I281" t="inlineStr">
        <is>
          <t>BOOL</t>
        </is>
      </c>
      <c r="J281" t="inlineStr">
        <is>
          <t>&gt;</t>
        </is>
      </c>
      <c r="K281" t="n">
        <v>39</v>
      </c>
      <c r="L281" t="n">
        <v>4</v>
      </c>
      <c r="M28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1" t="inlineStr"/>
      <c r="P281" t="inlineStr"/>
    </row>
    <row r="282">
      <c r="A282" t="inlineStr">
        <is>
          <t>DD</t>
        </is>
      </c>
      <c r="B282" t="inlineStr"/>
      <c r="C282" t="inlineStr"/>
      <c r="D282" t="inlineStr"/>
      <c r="E282" t="inlineStr"/>
      <c r="I282" t="inlineStr">
        <is>
          <t>BOOL</t>
        </is>
      </c>
      <c r="J282" t="inlineStr">
        <is>
          <t>&gt;</t>
        </is>
      </c>
      <c r="K282" t="n">
        <v>39</v>
      </c>
      <c r="L282" t="n">
        <v>5</v>
      </c>
      <c r="M28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2" t="inlineStr"/>
      <c r="P282" t="inlineStr"/>
    </row>
    <row r="283">
      <c r="A283" t="inlineStr">
        <is>
          <t>DD</t>
        </is>
      </c>
      <c r="B283" t="inlineStr"/>
      <c r="C283" t="inlineStr"/>
      <c r="D283" t="inlineStr"/>
      <c r="E283" t="inlineStr"/>
      <c r="I283" t="inlineStr">
        <is>
          <t>BOOL</t>
        </is>
      </c>
      <c r="J283" t="inlineStr">
        <is>
          <t>&gt;</t>
        </is>
      </c>
      <c r="K283" t="n">
        <v>39</v>
      </c>
      <c r="L283" t="n">
        <v>6</v>
      </c>
      <c r="M28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3" t="inlineStr"/>
      <c r="P283" t="inlineStr"/>
    </row>
    <row r="284">
      <c r="A284" t="inlineStr">
        <is>
          <t>DD</t>
        </is>
      </c>
      <c r="B284" t="inlineStr"/>
      <c r="C284" t="inlineStr"/>
      <c r="D284" t="inlineStr"/>
      <c r="E284" t="inlineStr"/>
      <c r="I284" t="inlineStr">
        <is>
          <t>BOOL</t>
        </is>
      </c>
      <c r="J284" t="inlineStr">
        <is>
          <t>&gt;</t>
        </is>
      </c>
      <c r="K284" t="n">
        <v>39</v>
      </c>
      <c r="L284" t="n">
        <v>7</v>
      </c>
      <c r="M28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4" t="inlineStr"/>
      <c r="P284" t="inlineStr"/>
    </row>
    <row r="286">
      <c r="A286" t="inlineStr">
        <is>
          <t>KQ</t>
        </is>
      </c>
      <c r="B286" t="inlineStr">
        <is>
          <t>Contactor Output [ =S1+PC1.CC1-Q66401..2 ]</t>
        </is>
      </c>
      <c r="C286" t="inlineStr">
        <is>
          <t>=S1</t>
        </is>
      </c>
      <c r="D286" t="inlineStr">
        <is>
          <t>+PC1.CC1</t>
        </is>
      </c>
      <c r="E286" t="inlineStr">
        <is>
          <t>-Q66401..2</t>
        </is>
      </c>
      <c r="F286" t="inlineStr">
        <is>
          <t>004</t>
        </is>
      </c>
      <c r="H286" t="inlineStr">
        <is>
          <t>00</t>
        </is>
      </c>
      <c r="I286" t="inlineStr">
        <is>
          <t>BOOL</t>
        </is>
      </c>
      <c r="J286" t="inlineStr">
        <is>
          <t>&gt;</t>
        </is>
      </c>
      <c r="K286" t="n">
        <v>40</v>
      </c>
      <c r="L286" t="n">
        <v>0</v>
      </c>
      <c r="M28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6" t="inlineStr">
        <is>
          <t>PNC_Q_SORTER-02_Contactor Output [ =S1+PC1.CC1-Q66401..2 ]</t>
        </is>
      </c>
      <c r="P286" t="inlineStr">
        <is>
          <t>"03_FDBACK"."Contactor Feedback Error [ =S1+PC1.CC1-Q66401..2 ]"</t>
        </is>
      </c>
    </row>
    <row r="287">
      <c r="A287" t="inlineStr">
        <is>
          <t>KQ</t>
        </is>
      </c>
      <c r="B287" t="inlineStr">
        <is>
          <t>Contactor Output [ =S1+PC1.CC1-X80201 ]</t>
        </is>
      </c>
      <c r="C287" t="inlineStr">
        <is>
          <t>=S1</t>
        </is>
      </c>
      <c r="D287" t="inlineStr">
        <is>
          <t>+PC1.CC1</t>
        </is>
      </c>
      <c r="E287" t="inlineStr">
        <is>
          <t>-X80201</t>
        </is>
      </c>
      <c r="F287" t="inlineStr">
        <is>
          <t>004</t>
        </is>
      </c>
      <c r="H287" t="inlineStr">
        <is>
          <t>01</t>
        </is>
      </c>
      <c r="I287" t="inlineStr">
        <is>
          <t>BOOL</t>
        </is>
      </c>
      <c r="J287" t="inlineStr">
        <is>
          <t>&gt;</t>
        </is>
      </c>
      <c r="K287" t="n">
        <v>40</v>
      </c>
      <c r="L287" t="n">
        <v>1</v>
      </c>
      <c r="M28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7" t="inlineStr">
        <is>
          <t>PNC_Q_SORTER-02_Contactor Output [ =S1+PC1.CC1-X80201 ]</t>
        </is>
      </c>
      <c r="P287" t="inlineStr">
        <is>
          <t>"03_FDBACK"."Contactor Feedback Error [ =S1+PC1.CC1-X80201 ]"</t>
        </is>
      </c>
    </row>
    <row r="288">
      <c r="A288" t="inlineStr">
        <is>
          <t>KQ</t>
        </is>
      </c>
      <c r="B288" t="inlineStr">
        <is>
          <t>Contactor Output [ =S1+PC1.CC1-Q80001 ]</t>
        </is>
      </c>
      <c r="C288" t="inlineStr">
        <is>
          <t>=S1</t>
        </is>
      </c>
      <c r="D288" t="inlineStr">
        <is>
          <t>+PC1.CC1</t>
        </is>
      </c>
      <c r="E288" t="inlineStr">
        <is>
          <t>-Q80001</t>
        </is>
      </c>
      <c r="F288" t="inlineStr">
        <is>
          <t>004</t>
        </is>
      </c>
      <c r="H288" t="inlineStr">
        <is>
          <t>02</t>
        </is>
      </c>
      <c r="I288" t="inlineStr">
        <is>
          <t>BOOL</t>
        </is>
      </c>
      <c r="J288" t="inlineStr">
        <is>
          <t>&gt;</t>
        </is>
      </c>
      <c r="K288" t="n">
        <v>40</v>
      </c>
      <c r="L288" t="n">
        <v>2</v>
      </c>
      <c r="M28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8" t="inlineStr">
        <is>
          <t>PNC_Q_SORTER-02_Contactor Output [ =S1+PC1.CC1-Q80001 ]</t>
        </is>
      </c>
      <c r="P288" t="inlineStr">
        <is>
          <t>"03_FDBACK"."Contactor Feedback Error [ =S1+PC1.CC1-Q80001 ]"</t>
        </is>
      </c>
    </row>
    <row r="289">
      <c r="A289" t="inlineStr">
        <is>
          <t>KQ</t>
        </is>
      </c>
      <c r="B289" t="inlineStr">
        <is>
          <t>Contactor Output [ =S2+PC2.CC1-Q66401..2 ]</t>
        </is>
      </c>
      <c r="C289" t="inlineStr">
        <is>
          <t>=S2</t>
        </is>
      </c>
      <c r="D289" t="inlineStr">
        <is>
          <t>+PC2.CC1</t>
        </is>
      </c>
      <c r="E289" t="inlineStr">
        <is>
          <t>-Q66401..2</t>
        </is>
      </c>
      <c r="F289" t="inlineStr">
        <is>
          <t>008</t>
        </is>
      </c>
      <c r="H289" t="inlineStr">
        <is>
          <t>00</t>
        </is>
      </c>
      <c r="I289" t="inlineStr">
        <is>
          <t>BOOL</t>
        </is>
      </c>
      <c r="J289" t="inlineStr">
        <is>
          <t>&gt;</t>
        </is>
      </c>
      <c r="K289" t="n">
        <v>40</v>
      </c>
      <c r="L289" t="n">
        <v>3</v>
      </c>
      <c r="M28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8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89" t="inlineStr">
        <is>
          <t>PNC_Q_SORTER-02_Contactor Output [ =S2+PC2.CC1-Q66401..2 ]</t>
        </is>
      </c>
      <c r="P289" t="inlineStr">
        <is>
          <t>"03_FDBACK"."Contactor Feedback Error [ =S2+PC2.CC1-Q66401..2 ]"</t>
        </is>
      </c>
    </row>
    <row r="290">
      <c r="A290" t="inlineStr">
        <is>
          <t>KQ</t>
        </is>
      </c>
      <c r="B290" t="inlineStr">
        <is>
          <t>Contactor Output [ =S2+PC2.CC1-X80201 ]</t>
        </is>
      </c>
      <c r="C290" t="inlineStr">
        <is>
          <t>=S2</t>
        </is>
      </c>
      <c r="D290" t="inlineStr">
        <is>
          <t>+PC2.CC1</t>
        </is>
      </c>
      <c r="E290" t="inlineStr">
        <is>
          <t>-X80201</t>
        </is>
      </c>
      <c r="F290" t="inlineStr">
        <is>
          <t>008</t>
        </is>
      </c>
      <c r="H290" t="inlineStr">
        <is>
          <t>01</t>
        </is>
      </c>
      <c r="I290" t="inlineStr">
        <is>
          <t>BOOL</t>
        </is>
      </c>
      <c r="J290" t="inlineStr">
        <is>
          <t>&gt;</t>
        </is>
      </c>
      <c r="K290" t="n">
        <v>40</v>
      </c>
      <c r="L290" t="n">
        <v>4</v>
      </c>
      <c r="M29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0" t="inlineStr">
        <is>
          <t>PNC_Q_SORTER-02_Contactor Output [ =S2+PC2.CC1-X80201 ]</t>
        </is>
      </c>
      <c r="P290" t="inlineStr">
        <is>
          <t>"03_FDBACK"."Contactor Feedback Error [ =S2+PC2.CC1-X80201 ]"</t>
        </is>
      </c>
    </row>
    <row r="291">
      <c r="A291" t="inlineStr">
        <is>
          <t>KQ</t>
        </is>
      </c>
      <c r="B291" t="inlineStr">
        <is>
          <t>Contactor Output [ =S2+PC2.CC1-Q80001 ]</t>
        </is>
      </c>
      <c r="C291" t="inlineStr">
        <is>
          <t>=S2</t>
        </is>
      </c>
      <c r="D291" t="inlineStr">
        <is>
          <t>+PC2.CC1</t>
        </is>
      </c>
      <c r="E291" t="inlineStr">
        <is>
          <t>-Q80001</t>
        </is>
      </c>
      <c r="F291" t="inlineStr">
        <is>
          <t>008</t>
        </is>
      </c>
      <c r="H291" t="inlineStr">
        <is>
          <t>02</t>
        </is>
      </c>
      <c r="I291" t="inlineStr">
        <is>
          <t>BOOL</t>
        </is>
      </c>
      <c r="J291" t="inlineStr">
        <is>
          <t>&gt;</t>
        </is>
      </c>
      <c r="K291" t="n">
        <v>40</v>
      </c>
      <c r="L291" t="n">
        <v>5</v>
      </c>
      <c r="M29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1" t="inlineStr">
        <is>
          <t>PNC_Q_SORTER-02_Contactor Output [ =S2+PC2.CC1-Q80001 ]</t>
        </is>
      </c>
      <c r="P291" t="inlineStr">
        <is>
          <t>"03_FDBACK"."Contactor Feedback Error [ =S2+PC2.CC1-Q80001 ]"</t>
        </is>
      </c>
    </row>
    <row r="292">
      <c r="A292" t="inlineStr">
        <is>
          <t>KQ</t>
        </is>
      </c>
      <c r="B292" t="inlineStr"/>
      <c r="C292" t="inlineStr"/>
      <c r="D292" t="inlineStr"/>
      <c r="E292" t="inlineStr"/>
      <c r="I292" t="inlineStr">
        <is>
          <t>BOOL</t>
        </is>
      </c>
      <c r="J292" t="inlineStr">
        <is>
          <t>&gt;</t>
        </is>
      </c>
      <c r="K292" t="n">
        <v>40</v>
      </c>
      <c r="L292" t="n">
        <v>6</v>
      </c>
      <c r="M29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2" t="inlineStr"/>
      <c r="P292" t="inlineStr"/>
    </row>
    <row r="293">
      <c r="A293" t="inlineStr">
        <is>
          <t>KQ</t>
        </is>
      </c>
      <c r="B293" t="inlineStr"/>
      <c r="C293" t="inlineStr"/>
      <c r="D293" t="inlineStr"/>
      <c r="E293" t="inlineStr"/>
      <c r="I293" t="inlineStr">
        <is>
          <t>BOOL</t>
        </is>
      </c>
      <c r="J293" t="inlineStr">
        <is>
          <t>&gt;</t>
        </is>
      </c>
      <c r="K293" t="n">
        <v>40</v>
      </c>
      <c r="L293" t="n">
        <v>7</v>
      </c>
      <c r="M29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3" t="inlineStr"/>
      <c r="P293" t="inlineStr"/>
    </row>
    <row r="294">
      <c r="A294" t="inlineStr">
        <is>
          <t>KQ</t>
        </is>
      </c>
      <c r="B294" t="inlineStr"/>
      <c r="C294" t="inlineStr"/>
      <c r="D294" t="inlineStr"/>
      <c r="E294" t="inlineStr"/>
      <c r="I294" t="inlineStr">
        <is>
          <t>BOOL</t>
        </is>
      </c>
      <c r="J294" t="inlineStr">
        <is>
          <t>&gt;</t>
        </is>
      </c>
      <c r="K294" t="n">
        <v>41</v>
      </c>
      <c r="L294" t="n">
        <v>0</v>
      </c>
      <c r="M29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4" t="inlineStr"/>
      <c r="P294" t="inlineStr"/>
    </row>
    <row r="295">
      <c r="A295" t="inlineStr">
        <is>
          <t>KQ</t>
        </is>
      </c>
      <c r="B295" t="inlineStr"/>
      <c r="C295" t="inlineStr"/>
      <c r="D295" t="inlineStr"/>
      <c r="E295" t="inlineStr"/>
      <c r="I295" t="inlineStr">
        <is>
          <t>BOOL</t>
        </is>
      </c>
      <c r="J295" t="inlineStr">
        <is>
          <t>&gt;</t>
        </is>
      </c>
      <c r="K295" t="n">
        <v>41</v>
      </c>
      <c r="L295" t="n">
        <v>1</v>
      </c>
      <c r="M29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5" t="inlineStr"/>
      <c r="P295" t="inlineStr"/>
    </row>
    <row r="296">
      <c r="A296" t="inlineStr">
        <is>
          <t>KQ</t>
        </is>
      </c>
      <c r="B296" t="inlineStr"/>
      <c r="C296" t="inlineStr"/>
      <c r="D296" t="inlineStr"/>
      <c r="E296" t="inlineStr"/>
      <c r="I296" t="inlineStr">
        <is>
          <t>BOOL</t>
        </is>
      </c>
      <c r="J296" t="inlineStr">
        <is>
          <t>&gt;</t>
        </is>
      </c>
      <c r="K296" t="n">
        <v>41</v>
      </c>
      <c r="L296" t="n">
        <v>2</v>
      </c>
      <c r="M29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6" t="inlineStr"/>
      <c r="P296" t="inlineStr"/>
    </row>
    <row r="297">
      <c r="A297" t="inlineStr">
        <is>
          <t>KQ</t>
        </is>
      </c>
      <c r="B297" t="inlineStr"/>
      <c r="C297" t="inlineStr"/>
      <c r="D297" t="inlineStr"/>
      <c r="E297" t="inlineStr"/>
      <c r="I297" t="inlineStr">
        <is>
          <t>BOOL</t>
        </is>
      </c>
      <c r="J297" t="inlineStr">
        <is>
          <t>&gt;</t>
        </is>
      </c>
      <c r="K297" t="n">
        <v>41</v>
      </c>
      <c r="L297" t="n">
        <v>3</v>
      </c>
      <c r="M29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7" t="inlineStr"/>
      <c r="P297" t="inlineStr"/>
    </row>
    <row r="298">
      <c r="A298" t="inlineStr">
        <is>
          <t>KQ</t>
        </is>
      </c>
      <c r="B298" t="inlineStr"/>
      <c r="C298" t="inlineStr"/>
      <c r="D298" t="inlineStr"/>
      <c r="E298" t="inlineStr"/>
      <c r="I298" t="inlineStr">
        <is>
          <t>BOOL</t>
        </is>
      </c>
      <c r="J298" t="inlineStr">
        <is>
          <t>&gt;</t>
        </is>
      </c>
      <c r="K298" t="n">
        <v>41</v>
      </c>
      <c r="L298" t="n">
        <v>4</v>
      </c>
      <c r="M29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8" t="inlineStr"/>
      <c r="P298" t="inlineStr"/>
    </row>
    <row r="299">
      <c r="A299" t="inlineStr">
        <is>
          <t>KQ</t>
        </is>
      </c>
      <c r="B299" t="inlineStr"/>
      <c r="C299" t="inlineStr"/>
      <c r="D299" t="inlineStr"/>
      <c r="E299" t="inlineStr"/>
      <c r="I299" t="inlineStr">
        <is>
          <t>BOOL</t>
        </is>
      </c>
      <c r="J299" t="inlineStr">
        <is>
          <t>&gt;</t>
        </is>
      </c>
      <c r="K299" t="n">
        <v>41</v>
      </c>
      <c r="L299" t="n">
        <v>5</v>
      </c>
      <c r="M29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29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299" t="inlineStr"/>
      <c r="P299" t="inlineStr"/>
    </row>
    <row r="300">
      <c r="A300" t="inlineStr">
        <is>
          <t>KQ</t>
        </is>
      </c>
      <c r="B300" t="inlineStr"/>
      <c r="C300" t="inlineStr"/>
      <c r="D300" t="inlineStr"/>
      <c r="E300" t="inlineStr"/>
      <c r="I300" t="inlineStr">
        <is>
          <t>BOOL</t>
        </is>
      </c>
      <c r="J300" t="inlineStr">
        <is>
          <t>&gt;</t>
        </is>
      </c>
      <c r="K300" t="n">
        <v>41</v>
      </c>
      <c r="L300" t="n">
        <v>6</v>
      </c>
      <c r="M30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0" t="inlineStr"/>
      <c r="P300" t="inlineStr"/>
    </row>
    <row r="301">
      <c r="A301" t="inlineStr">
        <is>
          <t>KQ</t>
        </is>
      </c>
      <c r="B301" t="inlineStr"/>
      <c r="C301" t="inlineStr"/>
      <c r="D301" t="inlineStr"/>
      <c r="E301" t="inlineStr"/>
      <c r="I301" t="inlineStr">
        <is>
          <t>BOOL</t>
        </is>
      </c>
      <c r="J301" t="inlineStr">
        <is>
          <t>&gt;</t>
        </is>
      </c>
      <c r="K301" t="n">
        <v>41</v>
      </c>
      <c r="L301" t="n">
        <v>7</v>
      </c>
      <c r="M30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1" t="inlineStr"/>
      <c r="P301" t="inlineStr"/>
    </row>
    <row r="303">
      <c r="A303" t="inlineStr">
        <is>
          <t>Z4</t>
        </is>
      </c>
      <c r="B303" t="inlineStr">
        <is>
          <t>Emergency Status Feedback Area  [ =S2+MS2.CC1-Q66501 ]</t>
        </is>
      </c>
      <c r="C303" t="inlineStr">
        <is>
          <t>=S2</t>
        </is>
      </c>
      <c r="D303" t="inlineStr">
        <is>
          <t>+MS2.CC1</t>
        </is>
      </c>
      <c r="E303" t="inlineStr">
        <is>
          <t>-Q66501</t>
        </is>
      </c>
      <c r="F303" t="inlineStr">
        <is>
          <t>015</t>
        </is>
      </c>
      <c r="H303" t="inlineStr">
        <is>
          <t>04</t>
        </is>
      </c>
      <c r="I303" t="inlineStr">
        <is>
          <t>BOOL</t>
        </is>
      </c>
      <c r="J303" t="inlineStr">
        <is>
          <t>&gt;</t>
        </is>
      </c>
      <c r="K303" t="n">
        <v>42</v>
      </c>
      <c r="L303" t="n">
        <v>0</v>
      </c>
      <c r="M30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3" t="inlineStr">
        <is>
          <t>PNC_Q_SORTER-02_Emergency Status Feedback Area  [ =S2+MS2.CC1-Q66501 ]</t>
        </is>
      </c>
      <c r="P303" t="inlineStr">
        <is>
          <t>"Emergency Status Feedback Area  [ =S2+MS2.CC1-Q66501 ]"</t>
        </is>
      </c>
    </row>
    <row r="304">
      <c r="A304" t="inlineStr">
        <is>
          <t>Z4</t>
        </is>
      </c>
      <c r="B304" t="inlineStr"/>
      <c r="C304" t="inlineStr"/>
      <c r="D304" t="inlineStr"/>
      <c r="E304" t="inlineStr"/>
      <c r="I304" t="inlineStr">
        <is>
          <t>BOOL</t>
        </is>
      </c>
      <c r="J304" t="inlineStr">
        <is>
          <t>&gt;</t>
        </is>
      </c>
      <c r="K304" t="n">
        <v>42</v>
      </c>
      <c r="L304" t="n">
        <v>1</v>
      </c>
      <c r="M30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4" t="inlineStr"/>
      <c r="P304" t="inlineStr"/>
    </row>
    <row r="305">
      <c r="A305" t="inlineStr">
        <is>
          <t>Z4</t>
        </is>
      </c>
      <c r="B305" t="inlineStr"/>
      <c r="C305" t="inlineStr"/>
      <c r="D305" t="inlineStr"/>
      <c r="E305" t="inlineStr"/>
      <c r="I305" t="inlineStr">
        <is>
          <t>BOOL</t>
        </is>
      </c>
      <c r="J305" t="inlineStr">
        <is>
          <t>&gt;</t>
        </is>
      </c>
      <c r="K305" t="n">
        <v>42</v>
      </c>
      <c r="L305" t="n">
        <v>2</v>
      </c>
      <c r="M30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5" t="inlineStr"/>
      <c r="P305" t="inlineStr"/>
    </row>
    <row r="306">
      <c r="A306" t="inlineStr">
        <is>
          <t>Z4</t>
        </is>
      </c>
      <c r="B306" t="inlineStr"/>
      <c r="C306" t="inlineStr"/>
      <c r="D306" t="inlineStr"/>
      <c r="E306" t="inlineStr"/>
      <c r="I306" t="inlineStr">
        <is>
          <t>BOOL</t>
        </is>
      </c>
      <c r="J306" t="inlineStr">
        <is>
          <t>&gt;</t>
        </is>
      </c>
      <c r="K306" t="n">
        <v>42</v>
      </c>
      <c r="L306" t="n">
        <v>3</v>
      </c>
      <c r="M30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6" t="inlineStr"/>
      <c r="P306" t="inlineStr"/>
    </row>
    <row r="307">
      <c r="A307" t="inlineStr">
        <is>
          <t>Z4</t>
        </is>
      </c>
      <c r="B307" t="inlineStr"/>
      <c r="C307" t="inlineStr"/>
      <c r="D307" t="inlineStr"/>
      <c r="E307" t="inlineStr"/>
      <c r="I307" t="inlineStr">
        <is>
          <t>BOOL</t>
        </is>
      </c>
      <c r="J307" t="inlineStr">
        <is>
          <t>&gt;</t>
        </is>
      </c>
      <c r="K307" t="n">
        <v>42</v>
      </c>
      <c r="L307" t="n">
        <v>4</v>
      </c>
      <c r="M30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7" t="inlineStr"/>
      <c r="P307" t="inlineStr"/>
    </row>
    <row r="308">
      <c r="A308" t="inlineStr">
        <is>
          <t>Z4</t>
        </is>
      </c>
      <c r="B308" t="inlineStr"/>
      <c r="C308" t="inlineStr"/>
      <c r="D308" t="inlineStr"/>
      <c r="E308" t="inlineStr"/>
      <c r="I308" t="inlineStr">
        <is>
          <t>BOOL</t>
        </is>
      </c>
      <c r="J308" t="inlineStr">
        <is>
          <t>&gt;</t>
        </is>
      </c>
      <c r="K308" t="n">
        <v>42</v>
      </c>
      <c r="L308" t="n">
        <v>5</v>
      </c>
      <c r="M30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8" t="inlineStr"/>
      <c r="P308" t="inlineStr"/>
    </row>
    <row r="309">
      <c r="A309" t="inlineStr">
        <is>
          <t>Z4</t>
        </is>
      </c>
      <c r="B309" t="inlineStr"/>
      <c r="C309" t="inlineStr"/>
      <c r="D309" t="inlineStr"/>
      <c r="E309" t="inlineStr"/>
      <c r="I309" t="inlineStr">
        <is>
          <t>BOOL</t>
        </is>
      </c>
      <c r="J309" t="inlineStr">
        <is>
          <t>&gt;</t>
        </is>
      </c>
      <c r="K309" t="n">
        <v>42</v>
      </c>
      <c r="L309" t="n">
        <v>6</v>
      </c>
      <c r="M30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0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09" t="inlineStr"/>
      <c r="P309" t="inlineStr"/>
    </row>
    <row r="310">
      <c r="A310" t="inlineStr">
        <is>
          <t>Z4</t>
        </is>
      </c>
      <c r="B310" t="inlineStr"/>
      <c r="C310" t="inlineStr"/>
      <c r="D310" t="inlineStr"/>
      <c r="E310" t="inlineStr"/>
      <c r="I310" t="inlineStr">
        <is>
          <t>BOOL</t>
        </is>
      </c>
      <c r="J310" t="inlineStr">
        <is>
          <t>&gt;</t>
        </is>
      </c>
      <c r="K310" t="n">
        <v>42</v>
      </c>
      <c r="L310" t="n">
        <v>7</v>
      </c>
      <c r="M31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0" t="inlineStr"/>
      <c r="P310" t="inlineStr"/>
    </row>
    <row r="311">
      <c r="A311" t="inlineStr">
        <is>
          <t>Z4</t>
        </is>
      </c>
      <c r="B311" t="inlineStr"/>
      <c r="C311" t="inlineStr"/>
      <c r="D311" t="inlineStr"/>
      <c r="E311" t="inlineStr"/>
      <c r="I311" t="inlineStr">
        <is>
          <t>BOOL</t>
        </is>
      </c>
      <c r="J311" t="inlineStr">
        <is>
          <t>&gt;</t>
        </is>
      </c>
      <c r="K311" t="n">
        <v>43</v>
      </c>
      <c r="L311" t="n">
        <v>0</v>
      </c>
      <c r="M31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1" t="inlineStr"/>
      <c r="P311" t="inlineStr"/>
    </row>
    <row r="312">
      <c r="A312" t="inlineStr">
        <is>
          <t>Z4</t>
        </is>
      </c>
      <c r="B312" t="inlineStr"/>
      <c r="C312" t="inlineStr"/>
      <c r="D312" t="inlineStr"/>
      <c r="E312" t="inlineStr"/>
      <c r="I312" t="inlineStr">
        <is>
          <t>BOOL</t>
        </is>
      </c>
      <c r="J312" t="inlineStr">
        <is>
          <t>&gt;</t>
        </is>
      </c>
      <c r="K312" t="n">
        <v>43</v>
      </c>
      <c r="L312" t="n">
        <v>1</v>
      </c>
      <c r="M31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2" t="inlineStr"/>
      <c r="P312" t="inlineStr"/>
    </row>
    <row r="313">
      <c r="A313" t="inlineStr">
        <is>
          <t>Z4</t>
        </is>
      </c>
      <c r="B313" t="inlineStr"/>
      <c r="C313" t="inlineStr"/>
      <c r="D313" t="inlineStr"/>
      <c r="E313" t="inlineStr"/>
      <c r="I313" t="inlineStr">
        <is>
          <t>BOOL</t>
        </is>
      </c>
      <c r="J313" t="inlineStr">
        <is>
          <t>&gt;</t>
        </is>
      </c>
      <c r="K313" t="n">
        <v>43</v>
      </c>
      <c r="L313" t="n">
        <v>2</v>
      </c>
      <c r="M31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3" t="inlineStr"/>
      <c r="P313" t="inlineStr"/>
    </row>
    <row r="314">
      <c r="A314" t="inlineStr">
        <is>
          <t>Z4</t>
        </is>
      </c>
      <c r="B314" t="inlineStr"/>
      <c r="C314" t="inlineStr"/>
      <c r="D314" t="inlineStr"/>
      <c r="E314" t="inlineStr"/>
      <c r="I314" t="inlineStr">
        <is>
          <t>BOOL</t>
        </is>
      </c>
      <c r="J314" t="inlineStr">
        <is>
          <t>&gt;</t>
        </is>
      </c>
      <c r="K314" t="n">
        <v>43</v>
      </c>
      <c r="L314" t="n">
        <v>3</v>
      </c>
      <c r="M31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4" t="inlineStr"/>
      <c r="P314" t="inlineStr"/>
    </row>
    <row r="315">
      <c r="A315" t="inlineStr">
        <is>
          <t>Z4</t>
        </is>
      </c>
      <c r="B315" t="inlineStr"/>
      <c r="C315" t="inlineStr"/>
      <c r="D315" t="inlineStr"/>
      <c r="E315" t="inlineStr"/>
      <c r="I315" t="inlineStr">
        <is>
          <t>BOOL</t>
        </is>
      </c>
      <c r="J315" t="inlineStr">
        <is>
          <t>&gt;</t>
        </is>
      </c>
      <c r="K315" t="n">
        <v>43</v>
      </c>
      <c r="L315" t="n">
        <v>4</v>
      </c>
      <c r="M31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5" t="inlineStr"/>
      <c r="P315" t="inlineStr"/>
    </row>
    <row r="316">
      <c r="A316" t="inlineStr">
        <is>
          <t>Z4</t>
        </is>
      </c>
      <c r="B316" t="inlineStr"/>
      <c r="C316" t="inlineStr"/>
      <c r="D316" t="inlineStr"/>
      <c r="E316" t="inlineStr"/>
      <c r="I316" t="inlineStr">
        <is>
          <t>BOOL</t>
        </is>
      </c>
      <c r="J316" t="inlineStr">
        <is>
          <t>&gt;</t>
        </is>
      </c>
      <c r="K316" t="n">
        <v>43</v>
      </c>
      <c r="L316" t="n">
        <v>5</v>
      </c>
      <c r="M31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6" t="inlineStr"/>
      <c r="P316" t="inlineStr"/>
    </row>
    <row r="317">
      <c r="A317" t="inlineStr">
        <is>
          <t>Z4</t>
        </is>
      </c>
      <c r="B317" t="inlineStr"/>
      <c r="C317" t="inlineStr"/>
      <c r="D317" t="inlineStr"/>
      <c r="E317" t="inlineStr"/>
      <c r="I317" t="inlineStr">
        <is>
          <t>BOOL</t>
        </is>
      </c>
      <c r="J317" t="inlineStr">
        <is>
          <t>&gt;</t>
        </is>
      </c>
      <c r="K317" t="n">
        <v>43</v>
      </c>
      <c r="L317" t="n">
        <v>6</v>
      </c>
      <c r="M31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7" t="inlineStr"/>
      <c r="P317" t="inlineStr"/>
    </row>
    <row r="318">
      <c r="A318" t="inlineStr">
        <is>
          <t>Z4</t>
        </is>
      </c>
      <c r="B318" t="inlineStr"/>
      <c r="C318" t="inlineStr"/>
      <c r="D318" t="inlineStr"/>
      <c r="E318" t="inlineStr"/>
      <c r="I318" t="inlineStr">
        <is>
          <t>BOOL</t>
        </is>
      </c>
      <c r="J318" t="inlineStr">
        <is>
          <t>&gt;</t>
        </is>
      </c>
      <c r="K318" t="n">
        <v>43</v>
      </c>
      <c r="L318" t="n">
        <v>7</v>
      </c>
      <c r="M31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1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18" t="inlineStr"/>
      <c r="P318" t="inlineStr"/>
    </row>
    <row r="320">
      <c r="A320" t="inlineStr">
        <is>
          <t>Safety Encoder Failure</t>
        </is>
      </c>
      <c r="B320" t="inlineStr">
        <is>
          <t>Safety Encoder 0001 Healthy [ =S1+PC1.CC1-X81001 ]</t>
        </is>
      </c>
      <c r="C320" t="inlineStr">
        <is>
          <t>=S1</t>
        </is>
      </c>
      <c r="D320" t="inlineStr">
        <is>
          <t>+PC1.CC1</t>
        </is>
      </c>
      <c r="E320" t="inlineStr">
        <is>
          <t>-X81001</t>
        </is>
      </c>
      <c r="F320" t="inlineStr">
        <is>
          <t>011</t>
        </is>
      </c>
      <c r="H320" t="inlineStr">
        <is>
          <t>00</t>
        </is>
      </c>
      <c r="I320" t="inlineStr">
        <is>
          <t>BOOL</t>
        </is>
      </c>
      <c r="J320" t="inlineStr">
        <is>
          <t>&gt;</t>
        </is>
      </c>
      <c r="K320" t="n">
        <v>44</v>
      </c>
      <c r="L320" t="n">
        <v>0</v>
      </c>
      <c r="M32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0" t="inlineStr">
        <is>
          <t>PNC_Q_Safety Encoder 0001 Healthy [ =S1+PC1.CC1-X81001 ]</t>
        </is>
      </c>
      <c r="P320" t="inlineStr">
        <is>
          <t>"04_SPEED"."Safety Encoder 0001 Healthy [ =S1+PC1.CC1-X81001 ]"</t>
        </is>
      </c>
    </row>
    <row r="321">
      <c r="A321" t="inlineStr">
        <is>
          <t>Safety Encoder Failure</t>
        </is>
      </c>
      <c r="B321" t="inlineStr">
        <is>
          <t>Safety Encoder 0002 Healthy [ =S2+PC2.CC1-X81001 ]</t>
        </is>
      </c>
      <c r="C321" t="inlineStr">
        <is>
          <t>=S2</t>
        </is>
      </c>
      <c r="D321" t="inlineStr">
        <is>
          <t>+PC2.CC1</t>
        </is>
      </c>
      <c r="E321" t="inlineStr">
        <is>
          <t>-X81001</t>
        </is>
      </c>
      <c r="F321" t="inlineStr">
        <is>
          <t>011</t>
        </is>
      </c>
      <c r="H321" t="inlineStr">
        <is>
          <t>02</t>
        </is>
      </c>
      <c r="I321" t="inlineStr">
        <is>
          <t>BOOL</t>
        </is>
      </c>
      <c r="J321" t="inlineStr">
        <is>
          <t>&gt;</t>
        </is>
      </c>
      <c r="K321" t="n">
        <v>44</v>
      </c>
      <c r="L321" t="n">
        <v>1</v>
      </c>
      <c r="M32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1" t="inlineStr">
        <is>
          <t>PNC_Q_Safety Encoder 0002 Healthy [ =S2+PC2.CC1-X81001 ]</t>
        </is>
      </c>
      <c r="P321" t="inlineStr">
        <is>
          <t>"04_SPEED"."Safety Encoder 0002 Healthy [ =S2+PC2.CC1-X81001 ]"</t>
        </is>
      </c>
    </row>
    <row r="322">
      <c r="A322" t="inlineStr">
        <is>
          <t>Safety Encoder Failure</t>
        </is>
      </c>
      <c r="B322" t="inlineStr"/>
      <c r="C322" t="inlineStr"/>
      <c r="D322" t="inlineStr"/>
      <c r="E322" t="inlineStr"/>
      <c r="I322" t="inlineStr">
        <is>
          <t>BOOL</t>
        </is>
      </c>
      <c r="J322" t="inlineStr">
        <is>
          <t>&gt;</t>
        </is>
      </c>
      <c r="K322" t="n">
        <v>44</v>
      </c>
      <c r="L322" t="n">
        <v>2</v>
      </c>
      <c r="M32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2" t="inlineStr"/>
      <c r="P322" t="inlineStr"/>
    </row>
    <row r="323">
      <c r="A323" t="inlineStr">
        <is>
          <t>Safety Encoder Failure</t>
        </is>
      </c>
      <c r="B323" t="inlineStr"/>
      <c r="C323" t="inlineStr"/>
      <c r="D323" t="inlineStr"/>
      <c r="E323" t="inlineStr"/>
      <c r="I323" t="inlineStr">
        <is>
          <t>BOOL</t>
        </is>
      </c>
      <c r="J323" t="inlineStr">
        <is>
          <t>&gt;</t>
        </is>
      </c>
      <c r="K323" t="n">
        <v>44</v>
      </c>
      <c r="L323" t="n">
        <v>3</v>
      </c>
      <c r="M32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3" t="inlineStr"/>
      <c r="P323" t="inlineStr"/>
    </row>
    <row r="324">
      <c r="A324" t="inlineStr">
        <is>
          <t>Safety Encoder Failure</t>
        </is>
      </c>
      <c r="B324" t="inlineStr"/>
      <c r="C324" t="inlineStr"/>
      <c r="D324" t="inlineStr"/>
      <c r="E324" t="inlineStr"/>
      <c r="I324" t="inlineStr">
        <is>
          <t>BOOL</t>
        </is>
      </c>
      <c r="J324" t="inlineStr">
        <is>
          <t>&gt;</t>
        </is>
      </c>
      <c r="K324" t="n">
        <v>44</v>
      </c>
      <c r="L324" t="n">
        <v>4</v>
      </c>
      <c r="M32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4" t="inlineStr"/>
      <c r="P324" t="inlineStr"/>
    </row>
    <row r="325">
      <c r="A325" t="inlineStr">
        <is>
          <t>Safety Encoder Failure</t>
        </is>
      </c>
      <c r="B325" t="inlineStr"/>
      <c r="C325" t="inlineStr"/>
      <c r="D325" t="inlineStr"/>
      <c r="E325" t="inlineStr"/>
      <c r="I325" t="inlineStr">
        <is>
          <t>BOOL</t>
        </is>
      </c>
      <c r="J325" t="inlineStr">
        <is>
          <t>&gt;</t>
        </is>
      </c>
      <c r="K325" t="n">
        <v>44</v>
      </c>
      <c r="L325" t="n">
        <v>5</v>
      </c>
      <c r="M32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5" t="inlineStr"/>
      <c r="P325" t="inlineStr"/>
    </row>
    <row r="326">
      <c r="A326" t="inlineStr">
        <is>
          <t>Safety Encoder Failure</t>
        </is>
      </c>
      <c r="B326" t="inlineStr"/>
      <c r="C326" t="inlineStr"/>
      <c r="D326" t="inlineStr"/>
      <c r="E326" t="inlineStr"/>
      <c r="I326" t="inlineStr">
        <is>
          <t>BOOL</t>
        </is>
      </c>
      <c r="J326" t="inlineStr">
        <is>
          <t>&gt;</t>
        </is>
      </c>
      <c r="K326" t="n">
        <v>44</v>
      </c>
      <c r="L326" t="n">
        <v>6</v>
      </c>
      <c r="M32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6" t="inlineStr"/>
      <c r="P326" t="inlineStr"/>
    </row>
    <row r="327">
      <c r="A327" t="inlineStr">
        <is>
          <t>Safety Encoder Failure</t>
        </is>
      </c>
      <c r="B327" t="inlineStr"/>
      <c r="C327" t="inlineStr"/>
      <c r="D327" t="inlineStr"/>
      <c r="E327" t="inlineStr"/>
      <c r="I327" t="inlineStr">
        <is>
          <t>BOOL</t>
        </is>
      </c>
      <c r="J327" t="inlineStr">
        <is>
          <t>&gt;</t>
        </is>
      </c>
      <c r="K327" t="n">
        <v>44</v>
      </c>
      <c r="L327" t="n">
        <v>7</v>
      </c>
      <c r="M32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7" t="inlineStr"/>
      <c r="P327" t="inlineStr"/>
    </row>
    <row r="328">
      <c r="A328" t="inlineStr">
        <is>
          <t>Safety Encoder Failure</t>
        </is>
      </c>
      <c r="B328" t="inlineStr"/>
      <c r="C328" t="inlineStr"/>
      <c r="D328" t="inlineStr"/>
      <c r="E328" t="inlineStr"/>
      <c r="I328" t="inlineStr">
        <is>
          <t>BOOL</t>
        </is>
      </c>
      <c r="J328" t="inlineStr">
        <is>
          <t>&gt;</t>
        </is>
      </c>
      <c r="K328" t="n">
        <v>45</v>
      </c>
      <c r="L328" t="n">
        <v>0</v>
      </c>
      <c r="M32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8" t="inlineStr"/>
      <c r="P328" t="inlineStr"/>
    </row>
    <row r="329">
      <c r="A329" t="inlineStr">
        <is>
          <t>Safety Encoder Failure</t>
        </is>
      </c>
      <c r="B329" t="inlineStr"/>
      <c r="C329" t="inlineStr"/>
      <c r="D329" t="inlineStr"/>
      <c r="E329" t="inlineStr"/>
      <c r="I329" t="inlineStr">
        <is>
          <t>BOOL</t>
        </is>
      </c>
      <c r="J329" t="inlineStr">
        <is>
          <t>&gt;</t>
        </is>
      </c>
      <c r="K329" t="n">
        <v>45</v>
      </c>
      <c r="L329" t="n">
        <v>1</v>
      </c>
      <c r="M32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2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29" t="inlineStr"/>
      <c r="P329" t="inlineStr"/>
    </row>
    <row r="330">
      <c r="A330" t="inlineStr">
        <is>
          <t>Safety Encoder Failure</t>
        </is>
      </c>
      <c r="B330" t="inlineStr"/>
      <c r="C330" t="inlineStr"/>
      <c r="D330" t="inlineStr"/>
      <c r="E330" t="inlineStr"/>
      <c r="I330" t="inlineStr">
        <is>
          <t>BOOL</t>
        </is>
      </c>
      <c r="J330" t="inlineStr">
        <is>
          <t>&gt;</t>
        </is>
      </c>
      <c r="K330" t="n">
        <v>45</v>
      </c>
      <c r="L330" t="n">
        <v>2</v>
      </c>
      <c r="M33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0" t="inlineStr"/>
      <c r="P330" t="inlineStr"/>
    </row>
    <row r="331">
      <c r="A331" t="inlineStr">
        <is>
          <t>Safety Encoder Failure</t>
        </is>
      </c>
      <c r="B331" t="inlineStr"/>
      <c r="C331" t="inlineStr"/>
      <c r="D331" t="inlineStr"/>
      <c r="E331" t="inlineStr"/>
      <c r="I331" t="inlineStr">
        <is>
          <t>BOOL</t>
        </is>
      </c>
      <c r="J331" t="inlineStr">
        <is>
          <t>&gt;</t>
        </is>
      </c>
      <c r="K331" t="n">
        <v>45</v>
      </c>
      <c r="L331" t="n">
        <v>3</v>
      </c>
      <c r="M33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1" t="inlineStr"/>
      <c r="P331" t="inlineStr"/>
    </row>
    <row r="332">
      <c r="A332" t="inlineStr">
        <is>
          <t>Safety Encoder Failure</t>
        </is>
      </c>
      <c r="B332" t="inlineStr"/>
      <c r="C332" t="inlineStr"/>
      <c r="D332" t="inlineStr"/>
      <c r="E332" t="inlineStr"/>
      <c r="I332" t="inlineStr">
        <is>
          <t>BOOL</t>
        </is>
      </c>
      <c r="J332" t="inlineStr">
        <is>
          <t>&gt;</t>
        </is>
      </c>
      <c r="K332" t="n">
        <v>45</v>
      </c>
      <c r="L332" t="n">
        <v>4</v>
      </c>
      <c r="M33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2" t="inlineStr"/>
      <c r="P332" t="inlineStr"/>
    </row>
    <row r="333">
      <c r="A333" t="inlineStr">
        <is>
          <t>Safety Encoder Failure</t>
        </is>
      </c>
      <c r="B333" t="inlineStr"/>
      <c r="C333" t="inlineStr"/>
      <c r="D333" t="inlineStr"/>
      <c r="E333" t="inlineStr"/>
      <c r="I333" t="inlineStr">
        <is>
          <t>BOOL</t>
        </is>
      </c>
      <c r="J333" t="inlineStr">
        <is>
          <t>&gt;</t>
        </is>
      </c>
      <c r="K333" t="n">
        <v>45</v>
      </c>
      <c r="L333" t="n">
        <v>5</v>
      </c>
      <c r="M33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3" t="inlineStr"/>
      <c r="P333" t="inlineStr"/>
    </row>
    <row r="334">
      <c r="A334" t="inlineStr">
        <is>
          <t>Safety Encoder Failure</t>
        </is>
      </c>
      <c r="B334" t="inlineStr"/>
      <c r="C334" t="inlineStr"/>
      <c r="D334" t="inlineStr"/>
      <c r="E334" t="inlineStr"/>
      <c r="I334" t="inlineStr">
        <is>
          <t>BOOL</t>
        </is>
      </c>
      <c r="J334" t="inlineStr">
        <is>
          <t>&gt;</t>
        </is>
      </c>
      <c r="K334" t="n">
        <v>45</v>
      </c>
      <c r="L334" t="n">
        <v>6</v>
      </c>
      <c r="M33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4" t="inlineStr"/>
      <c r="P334" t="inlineStr"/>
    </row>
    <row r="335">
      <c r="A335" t="inlineStr">
        <is>
          <t>Safety Encoder Failure</t>
        </is>
      </c>
      <c r="B335" t="inlineStr"/>
      <c r="C335" t="inlineStr"/>
      <c r="D335" t="inlineStr"/>
      <c r="E335" t="inlineStr"/>
      <c r="I335" t="inlineStr">
        <is>
          <t>BOOL</t>
        </is>
      </c>
      <c r="J335" t="inlineStr">
        <is>
          <t>&gt;</t>
        </is>
      </c>
      <c r="K335" t="n">
        <v>45</v>
      </c>
      <c r="L335" t="n">
        <v>7</v>
      </c>
      <c r="M33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5" t="inlineStr"/>
      <c r="P335" t="inlineStr"/>
    </row>
    <row r="337">
      <c r="A337" t="inlineStr">
        <is>
          <t>Safety Door Alarm - Not Properly Closed</t>
        </is>
      </c>
      <c r="B337" t="inlineStr">
        <is>
          <t>Door Alarm [ =S1+SG1-B1 ]</t>
        </is>
      </c>
      <c r="C337" t="inlineStr">
        <is>
          <t>=S1</t>
        </is>
      </c>
      <c r="D337" t="inlineStr">
        <is>
          <t>+SG1</t>
        </is>
      </c>
      <c r="E337" t="inlineStr">
        <is>
          <t>-B1</t>
        </is>
      </c>
      <c r="F337" t="inlineStr">
        <is>
          <t>010</t>
        </is>
      </c>
      <c r="H337" t="inlineStr">
        <is>
          <t>01</t>
        </is>
      </c>
      <c r="I337" t="inlineStr">
        <is>
          <t>BOOL</t>
        </is>
      </c>
      <c r="J337" t="inlineStr">
        <is>
          <t>&gt;</t>
        </is>
      </c>
      <c r="K337" t="n">
        <v>46</v>
      </c>
      <c r="L337" t="n">
        <v>0</v>
      </c>
      <c r="M33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7" t="inlineStr">
        <is>
          <t>PNC_Q_Door Alarm [ =S1+SG1-B1 ]</t>
        </is>
      </c>
      <c r="P337" t="inlineStr">
        <is>
          <t>"07_DOOR"."Door Alarm [ =S1+SG1-B1 ]"</t>
        </is>
      </c>
    </row>
    <row r="338">
      <c r="A338" t="inlineStr">
        <is>
          <t>Safety Door Alarm - Not Properly Closed</t>
        </is>
      </c>
      <c r="B338" t="inlineStr">
        <is>
          <t>Door Alarm [ =S1+SG2-B1 ]</t>
        </is>
      </c>
      <c r="C338" t="inlineStr">
        <is>
          <t>=S1</t>
        </is>
      </c>
      <c r="D338" t="inlineStr">
        <is>
          <t>+SG2</t>
        </is>
      </c>
      <c r="E338" t="inlineStr">
        <is>
          <t>-B1</t>
        </is>
      </c>
      <c r="F338" t="inlineStr">
        <is>
          <t>010</t>
        </is>
      </c>
      <c r="H338" t="inlineStr">
        <is>
          <t>03</t>
        </is>
      </c>
      <c r="I338" t="inlineStr">
        <is>
          <t>BOOL</t>
        </is>
      </c>
      <c r="J338" t="inlineStr">
        <is>
          <t>&gt;</t>
        </is>
      </c>
      <c r="K338" t="n">
        <v>46</v>
      </c>
      <c r="L338" t="n">
        <v>1</v>
      </c>
      <c r="M33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8" t="inlineStr">
        <is>
          <t>PNC_Q_Door Alarm [ =S1+SG2-B1 ]</t>
        </is>
      </c>
      <c r="P338" t="inlineStr">
        <is>
          <t>"07_DOOR"."Door Alarm [ =S1+SG2-B1 ]"</t>
        </is>
      </c>
    </row>
    <row r="339">
      <c r="A339" t="inlineStr">
        <is>
          <t>Safety Door Alarm - Not Properly Closed</t>
        </is>
      </c>
      <c r="B339" t="inlineStr">
        <is>
          <t>Door Alarm [ =S2+SG3-B1 ]</t>
        </is>
      </c>
      <c r="C339" t="inlineStr">
        <is>
          <t>=S2</t>
        </is>
      </c>
      <c r="D339" t="inlineStr">
        <is>
          <t>+SG3</t>
        </is>
      </c>
      <c r="E339" t="inlineStr">
        <is>
          <t>-B1</t>
        </is>
      </c>
      <c r="F339" t="inlineStr">
        <is>
          <t>010</t>
        </is>
      </c>
      <c r="H339" t="inlineStr">
        <is>
          <t>05</t>
        </is>
      </c>
      <c r="I339" t="inlineStr">
        <is>
          <t>BOOL</t>
        </is>
      </c>
      <c r="J339" t="inlineStr">
        <is>
          <t>&gt;</t>
        </is>
      </c>
      <c r="K339" t="n">
        <v>46</v>
      </c>
      <c r="L339" t="n">
        <v>2</v>
      </c>
      <c r="M33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3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39" t="inlineStr">
        <is>
          <t>PNC_Q_Door Alarm [ =S2+SG3-B1 ]</t>
        </is>
      </c>
      <c r="P339" t="inlineStr">
        <is>
          <t>"07_DOOR"."Door Alarm [ =S2+SG3-B1 ]"</t>
        </is>
      </c>
    </row>
    <row r="340">
      <c r="A340" t="inlineStr">
        <is>
          <t>Safety Door Alarm - Not Properly Closed</t>
        </is>
      </c>
      <c r="B340" t="inlineStr">
        <is>
          <t>Door Alarm [ =S2+SG4-B1 ]</t>
        </is>
      </c>
      <c r="C340" t="inlineStr">
        <is>
          <t>=S2</t>
        </is>
      </c>
      <c r="D340" t="inlineStr">
        <is>
          <t>+SG4</t>
        </is>
      </c>
      <c r="E340" t="inlineStr">
        <is>
          <t>-B1</t>
        </is>
      </c>
      <c r="F340" t="inlineStr">
        <is>
          <t>010</t>
        </is>
      </c>
      <c r="H340" t="inlineStr">
        <is>
          <t>07</t>
        </is>
      </c>
      <c r="I340" t="inlineStr">
        <is>
          <t>BOOL</t>
        </is>
      </c>
      <c r="J340" t="inlineStr">
        <is>
          <t>&gt;</t>
        </is>
      </c>
      <c r="K340" t="n">
        <v>46</v>
      </c>
      <c r="L340" t="n">
        <v>3</v>
      </c>
      <c r="M34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0" t="inlineStr">
        <is>
          <t>PNC_Q_Door Alarm [ =S2+SG4-B1 ]</t>
        </is>
      </c>
      <c r="P340" t="inlineStr">
        <is>
          <t>"07_DOOR"."Door Alarm [ =S2+SG4-B1 ]"</t>
        </is>
      </c>
    </row>
    <row r="341">
      <c r="A341" t="inlineStr">
        <is>
          <t>Safety Door Alarm - Not Properly Closed</t>
        </is>
      </c>
      <c r="B341" t="inlineStr"/>
      <c r="C341" t="inlineStr"/>
      <c r="D341" t="inlineStr"/>
      <c r="E341" t="inlineStr"/>
      <c r="I341" t="inlineStr">
        <is>
          <t>BOOL</t>
        </is>
      </c>
      <c r="J341" t="inlineStr">
        <is>
          <t>&gt;</t>
        </is>
      </c>
      <c r="K341" t="n">
        <v>46</v>
      </c>
      <c r="L341" t="n">
        <v>4</v>
      </c>
      <c r="M34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1" t="inlineStr"/>
      <c r="P341" t="inlineStr"/>
    </row>
    <row r="342">
      <c r="A342" t="inlineStr">
        <is>
          <t>Safety Door Alarm - Not Properly Closed</t>
        </is>
      </c>
      <c r="B342" t="inlineStr"/>
      <c r="C342" t="inlineStr"/>
      <c r="D342" t="inlineStr"/>
      <c r="E342" t="inlineStr"/>
      <c r="I342" t="inlineStr">
        <is>
          <t>BOOL</t>
        </is>
      </c>
      <c r="J342" t="inlineStr">
        <is>
          <t>&gt;</t>
        </is>
      </c>
      <c r="K342" t="n">
        <v>46</v>
      </c>
      <c r="L342" t="n">
        <v>5</v>
      </c>
      <c r="M34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2" t="inlineStr"/>
      <c r="P342" t="inlineStr"/>
    </row>
    <row r="343">
      <c r="A343" t="inlineStr">
        <is>
          <t>Safety Door Alarm - Not Properly Closed</t>
        </is>
      </c>
      <c r="B343" t="inlineStr"/>
      <c r="C343" t="inlineStr"/>
      <c r="D343" t="inlineStr"/>
      <c r="E343" t="inlineStr"/>
      <c r="I343" t="inlineStr">
        <is>
          <t>BOOL</t>
        </is>
      </c>
      <c r="J343" t="inlineStr">
        <is>
          <t>&gt;</t>
        </is>
      </c>
      <c r="K343" t="n">
        <v>46</v>
      </c>
      <c r="L343" t="n">
        <v>6</v>
      </c>
      <c r="M34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3" t="inlineStr"/>
      <c r="P343" t="inlineStr"/>
    </row>
    <row r="344">
      <c r="A344" t="inlineStr">
        <is>
          <t>Safety Door Alarm - Not Properly Closed</t>
        </is>
      </c>
      <c r="B344" t="inlineStr"/>
      <c r="C344" t="inlineStr"/>
      <c r="D344" t="inlineStr"/>
      <c r="E344" t="inlineStr"/>
      <c r="I344" t="inlineStr">
        <is>
          <t>BOOL</t>
        </is>
      </c>
      <c r="J344" t="inlineStr">
        <is>
          <t>&gt;</t>
        </is>
      </c>
      <c r="K344" t="n">
        <v>46</v>
      </c>
      <c r="L344" t="n">
        <v>7</v>
      </c>
      <c r="M34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4" t="inlineStr"/>
      <c r="P344" t="inlineStr"/>
    </row>
    <row r="345">
      <c r="A345" t="inlineStr">
        <is>
          <t>Safety Door Alarm - Not Properly Closed</t>
        </is>
      </c>
      <c r="B345" t="inlineStr"/>
      <c r="C345" t="inlineStr"/>
      <c r="D345" t="inlineStr"/>
      <c r="E345" t="inlineStr"/>
      <c r="I345" t="inlineStr">
        <is>
          <t>BOOL</t>
        </is>
      </c>
      <c r="J345" t="inlineStr">
        <is>
          <t>&gt;</t>
        </is>
      </c>
      <c r="K345" t="n">
        <v>47</v>
      </c>
      <c r="L345" t="n">
        <v>0</v>
      </c>
      <c r="M34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5" t="inlineStr"/>
      <c r="P345" t="inlineStr"/>
    </row>
    <row r="346">
      <c r="A346" t="inlineStr">
        <is>
          <t>Safety Door Alarm - Not Properly Closed</t>
        </is>
      </c>
      <c r="B346" t="inlineStr"/>
      <c r="C346" t="inlineStr"/>
      <c r="D346" t="inlineStr"/>
      <c r="E346" t="inlineStr"/>
      <c r="I346" t="inlineStr">
        <is>
          <t>BOOL</t>
        </is>
      </c>
      <c r="J346" t="inlineStr">
        <is>
          <t>&gt;</t>
        </is>
      </c>
      <c r="K346" t="n">
        <v>47</v>
      </c>
      <c r="L346" t="n">
        <v>1</v>
      </c>
      <c r="M34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6" t="inlineStr"/>
      <c r="P346" t="inlineStr"/>
    </row>
    <row r="347">
      <c r="A347" t="inlineStr">
        <is>
          <t>Safety Door Alarm - Not Properly Closed</t>
        </is>
      </c>
      <c r="B347" t="inlineStr"/>
      <c r="C347" t="inlineStr"/>
      <c r="D347" t="inlineStr"/>
      <c r="E347" t="inlineStr"/>
      <c r="I347" t="inlineStr">
        <is>
          <t>BOOL</t>
        </is>
      </c>
      <c r="J347" t="inlineStr">
        <is>
          <t>&gt;</t>
        </is>
      </c>
      <c r="K347" t="n">
        <v>47</v>
      </c>
      <c r="L347" t="n">
        <v>2</v>
      </c>
      <c r="M34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7" t="inlineStr"/>
      <c r="P347" t="inlineStr"/>
    </row>
    <row r="348">
      <c r="A348" t="inlineStr">
        <is>
          <t>Safety Door Alarm - Not Properly Closed</t>
        </is>
      </c>
      <c r="B348" t="inlineStr"/>
      <c r="C348" t="inlineStr"/>
      <c r="D348" t="inlineStr"/>
      <c r="E348" t="inlineStr"/>
      <c r="I348" t="inlineStr">
        <is>
          <t>BOOL</t>
        </is>
      </c>
      <c r="J348" t="inlineStr">
        <is>
          <t>&gt;</t>
        </is>
      </c>
      <c r="K348" t="n">
        <v>47</v>
      </c>
      <c r="L348" t="n">
        <v>3</v>
      </c>
      <c r="M34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8" t="inlineStr"/>
      <c r="P348" t="inlineStr"/>
    </row>
    <row r="349">
      <c r="A349" t="inlineStr">
        <is>
          <t>Safety Door Alarm - Not Properly Closed</t>
        </is>
      </c>
      <c r="B349" t="inlineStr"/>
      <c r="C349" t="inlineStr"/>
      <c r="D349" t="inlineStr"/>
      <c r="E349" t="inlineStr"/>
      <c r="I349" t="inlineStr">
        <is>
          <t>BOOL</t>
        </is>
      </c>
      <c r="J349" t="inlineStr">
        <is>
          <t>&gt;</t>
        </is>
      </c>
      <c r="K349" t="n">
        <v>47</v>
      </c>
      <c r="L349" t="n">
        <v>4</v>
      </c>
      <c r="M34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4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49" t="inlineStr"/>
      <c r="P349" t="inlineStr"/>
    </row>
    <row r="350">
      <c r="A350" t="inlineStr">
        <is>
          <t>Safety Door Alarm - Not Properly Closed</t>
        </is>
      </c>
      <c r="B350" t="inlineStr"/>
      <c r="C350" t="inlineStr"/>
      <c r="D350" t="inlineStr"/>
      <c r="E350" t="inlineStr"/>
      <c r="I350" t="inlineStr">
        <is>
          <t>BOOL</t>
        </is>
      </c>
      <c r="J350" t="inlineStr">
        <is>
          <t>&gt;</t>
        </is>
      </c>
      <c r="K350" t="n">
        <v>47</v>
      </c>
      <c r="L350" t="n">
        <v>5</v>
      </c>
      <c r="M35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0" t="inlineStr"/>
      <c r="P350" t="inlineStr"/>
    </row>
    <row r="351">
      <c r="A351" t="inlineStr">
        <is>
          <t>Safety Door Alarm - Not Properly Closed</t>
        </is>
      </c>
      <c r="B351" t="inlineStr"/>
      <c r="C351" t="inlineStr"/>
      <c r="D351" t="inlineStr"/>
      <c r="E351" t="inlineStr"/>
      <c r="I351" t="inlineStr">
        <is>
          <t>BOOL</t>
        </is>
      </c>
      <c r="J351" t="inlineStr">
        <is>
          <t>&gt;</t>
        </is>
      </c>
      <c r="K351" t="n">
        <v>47</v>
      </c>
      <c r="L351" t="n">
        <v>6</v>
      </c>
      <c r="M35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1" t="inlineStr"/>
      <c r="P351" t="inlineStr"/>
    </row>
    <row r="352">
      <c r="A352" t="inlineStr">
        <is>
          <t>Safety Door Alarm - Not Properly Closed</t>
        </is>
      </c>
      <c r="B352" t="inlineStr"/>
      <c r="C352" t="inlineStr"/>
      <c r="D352" t="inlineStr"/>
      <c r="E352" t="inlineStr"/>
      <c r="I352" t="inlineStr">
        <is>
          <t>BOOL</t>
        </is>
      </c>
      <c r="J352" t="inlineStr">
        <is>
          <t>&gt;</t>
        </is>
      </c>
      <c r="K352" t="n">
        <v>47</v>
      </c>
      <c r="L352" t="n">
        <v>7</v>
      </c>
      <c r="M35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2" t="inlineStr"/>
      <c r="P352" t="inlineStr"/>
    </row>
    <row r="354">
      <c r="A354" t="inlineStr">
        <is>
          <t>IF_DOOR_CMD</t>
        </is>
      </c>
      <c r="B354" t="inlineStr">
        <is>
          <t>Open Door Request [ =S1+SG1-B1 ]</t>
        </is>
      </c>
      <c r="C354" t="inlineStr">
        <is>
          <t>=S1</t>
        </is>
      </c>
      <c r="D354" t="inlineStr">
        <is>
          <t>+SG1</t>
        </is>
      </c>
      <c r="E354" t="inlineStr">
        <is>
          <t>-B1</t>
        </is>
      </c>
      <c r="F354" t="inlineStr">
        <is>
          <t>010</t>
        </is>
      </c>
      <c r="H354" t="inlineStr">
        <is>
          <t>01</t>
        </is>
      </c>
      <c r="I354" t="inlineStr">
        <is>
          <t>BOOL</t>
        </is>
      </c>
      <c r="J354" t="inlineStr">
        <is>
          <t>&lt;</t>
        </is>
      </c>
      <c r="K354" t="n">
        <v>10</v>
      </c>
      <c r="L354" t="n">
        <v>0</v>
      </c>
      <c r="M35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4" t="inlineStr">
        <is>
          <t>PNC_I_Open Door Request [ =S1+SG1-B1 ]</t>
        </is>
      </c>
      <c r="P354" t="inlineStr">
        <is>
          <t>Open Door Request [ =S1+SG1-B1 ]</t>
        </is>
      </c>
    </row>
    <row r="355">
      <c r="A355" t="inlineStr">
        <is>
          <t>IF_DOOR_CMD</t>
        </is>
      </c>
      <c r="B355" t="inlineStr">
        <is>
          <t>Open Door Request [ =S1+SG2-B1 ]</t>
        </is>
      </c>
      <c r="C355" t="inlineStr">
        <is>
          <t>=S1</t>
        </is>
      </c>
      <c r="D355" t="inlineStr">
        <is>
          <t>+SG2</t>
        </is>
      </c>
      <c r="E355" t="inlineStr">
        <is>
          <t>-B1</t>
        </is>
      </c>
      <c r="F355" t="inlineStr">
        <is>
          <t>010</t>
        </is>
      </c>
      <c r="H355" t="inlineStr">
        <is>
          <t>03</t>
        </is>
      </c>
      <c r="I355" t="inlineStr">
        <is>
          <t>BOOL</t>
        </is>
      </c>
      <c r="J355" t="inlineStr">
        <is>
          <t>&lt;</t>
        </is>
      </c>
      <c r="K355" t="n">
        <v>10</v>
      </c>
      <c r="L355" t="n">
        <v>1</v>
      </c>
      <c r="M35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5" t="inlineStr">
        <is>
          <t>PNC_I_Open Door Request [ =S1+SG2-B1 ]</t>
        </is>
      </c>
      <c r="P355" t="inlineStr">
        <is>
          <t>Open Door Request [ =S1+SG2-B1 ]</t>
        </is>
      </c>
    </row>
    <row r="356">
      <c r="A356" t="inlineStr">
        <is>
          <t>IF_DOOR_CMD</t>
        </is>
      </c>
      <c r="B356" t="inlineStr">
        <is>
          <t>Open Door Request [ =S2+SG3-B1 ]</t>
        </is>
      </c>
      <c r="C356" t="inlineStr">
        <is>
          <t>=S2</t>
        </is>
      </c>
      <c r="D356" t="inlineStr">
        <is>
          <t>+SG3</t>
        </is>
      </c>
      <c r="E356" t="inlineStr">
        <is>
          <t>-B1</t>
        </is>
      </c>
      <c r="F356" t="inlineStr">
        <is>
          <t>010</t>
        </is>
      </c>
      <c r="H356" t="inlineStr">
        <is>
          <t>05</t>
        </is>
      </c>
      <c r="I356" t="inlineStr">
        <is>
          <t>BOOL</t>
        </is>
      </c>
      <c r="J356" t="inlineStr">
        <is>
          <t>&lt;</t>
        </is>
      </c>
      <c r="K356" t="n">
        <v>10</v>
      </c>
      <c r="L356" t="n">
        <v>2</v>
      </c>
      <c r="M35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6" t="inlineStr">
        <is>
          <t>PNC_I_Open Door Request [ =S2+SG3-B1 ]</t>
        </is>
      </c>
      <c r="P356" t="inlineStr">
        <is>
          <t>Open Door Request [ =S2+SG3-B1 ]</t>
        </is>
      </c>
    </row>
    <row r="357">
      <c r="A357" t="inlineStr">
        <is>
          <t>IF_DOOR_CMD</t>
        </is>
      </c>
      <c r="B357" t="inlineStr">
        <is>
          <t>Open Door Request [ =S2+SG4-B1 ]</t>
        </is>
      </c>
      <c r="C357" t="inlineStr">
        <is>
          <t>=S2</t>
        </is>
      </c>
      <c r="D357" t="inlineStr">
        <is>
          <t>+SG4</t>
        </is>
      </c>
      <c r="E357" t="inlineStr">
        <is>
          <t>-B1</t>
        </is>
      </c>
      <c r="F357" t="inlineStr">
        <is>
          <t>010</t>
        </is>
      </c>
      <c r="H357" t="inlineStr">
        <is>
          <t>07</t>
        </is>
      </c>
      <c r="I357" t="inlineStr">
        <is>
          <t>BOOL</t>
        </is>
      </c>
      <c r="J357" t="inlineStr">
        <is>
          <t>&lt;</t>
        </is>
      </c>
      <c r="K357" t="n">
        <v>10</v>
      </c>
      <c r="L357" t="n">
        <v>3</v>
      </c>
      <c r="M35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7" t="inlineStr">
        <is>
          <t>PNC_I_Open Door Request [ =S2+SG4-B1 ]</t>
        </is>
      </c>
      <c r="P357" t="inlineStr">
        <is>
          <t>Open Door Request [ =S2+SG4-B1 ]</t>
        </is>
      </c>
    </row>
    <row r="358">
      <c r="A358" t="inlineStr">
        <is>
          <t>IF_DOOR_CMD</t>
        </is>
      </c>
      <c r="B358" t="inlineStr"/>
      <c r="C358" t="inlineStr"/>
      <c r="D358" t="inlineStr"/>
      <c r="E358" t="inlineStr"/>
      <c r="I358" t="inlineStr">
        <is>
          <t>BOOL</t>
        </is>
      </c>
      <c r="J358" t="inlineStr">
        <is>
          <t>&lt;</t>
        </is>
      </c>
      <c r="K358" t="n">
        <v>10</v>
      </c>
      <c r="L358" t="n">
        <v>4</v>
      </c>
      <c r="M35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8" t="inlineStr"/>
      <c r="P358" t="inlineStr"/>
    </row>
    <row r="359">
      <c r="A359" t="inlineStr">
        <is>
          <t>IF_DOOR_CMD</t>
        </is>
      </c>
      <c r="B359" t="inlineStr"/>
      <c r="C359" t="inlineStr"/>
      <c r="D359" t="inlineStr"/>
      <c r="E359" t="inlineStr"/>
      <c r="I359" t="inlineStr">
        <is>
          <t>BOOL</t>
        </is>
      </c>
      <c r="J359" t="inlineStr">
        <is>
          <t>&lt;</t>
        </is>
      </c>
      <c r="K359" t="n">
        <v>10</v>
      </c>
      <c r="L359" t="n">
        <v>5</v>
      </c>
      <c r="M35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5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59" t="inlineStr"/>
      <c r="P359" t="inlineStr"/>
    </row>
    <row r="360">
      <c r="A360" t="inlineStr">
        <is>
          <t>IF_DOOR_CMD</t>
        </is>
      </c>
      <c r="B360" t="inlineStr"/>
      <c r="C360" t="inlineStr"/>
      <c r="D360" t="inlineStr"/>
      <c r="E360" t="inlineStr"/>
      <c r="I360" t="inlineStr">
        <is>
          <t>BOOL</t>
        </is>
      </c>
      <c r="J360" t="inlineStr">
        <is>
          <t>&lt;</t>
        </is>
      </c>
      <c r="K360" t="n">
        <v>10</v>
      </c>
      <c r="L360" t="n">
        <v>6</v>
      </c>
      <c r="M360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0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0" t="inlineStr"/>
      <c r="P360" t="inlineStr"/>
    </row>
    <row r="361">
      <c r="A361" t="inlineStr">
        <is>
          <t>IF_DOOR_CMD</t>
        </is>
      </c>
      <c r="B361" t="inlineStr"/>
      <c r="C361" t="inlineStr"/>
      <c r="D361" t="inlineStr"/>
      <c r="E361" t="inlineStr"/>
      <c r="I361" t="inlineStr">
        <is>
          <t>BOOL</t>
        </is>
      </c>
      <c r="J361" t="inlineStr">
        <is>
          <t>&lt;</t>
        </is>
      </c>
      <c r="K361" t="n">
        <v>10</v>
      </c>
      <c r="L361" t="n">
        <v>7</v>
      </c>
      <c r="M361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1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1" t="inlineStr"/>
      <c r="P361" t="inlineStr"/>
    </row>
    <row r="362">
      <c r="A362" t="inlineStr">
        <is>
          <t>IF_DOOR_CMD</t>
        </is>
      </c>
      <c r="B362" t="inlineStr"/>
      <c r="C362" t="inlineStr"/>
      <c r="D362" t="inlineStr"/>
      <c r="E362" t="inlineStr"/>
      <c r="I362" t="inlineStr">
        <is>
          <t>BOOL</t>
        </is>
      </c>
      <c r="J362" t="inlineStr">
        <is>
          <t>&lt;</t>
        </is>
      </c>
      <c r="K362" t="n">
        <v>11</v>
      </c>
      <c r="L362" t="n">
        <v>0</v>
      </c>
      <c r="M362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2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2" t="inlineStr"/>
      <c r="P362" t="inlineStr"/>
    </row>
    <row r="363">
      <c r="A363" t="inlineStr">
        <is>
          <t>IF_DOOR_CMD</t>
        </is>
      </c>
      <c r="B363" t="inlineStr"/>
      <c r="C363" t="inlineStr"/>
      <c r="D363" t="inlineStr"/>
      <c r="E363" t="inlineStr"/>
      <c r="I363" t="inlineStr">
        <is>
          <t>BOOL</t>
        </is>
      </c>
      <c r="J363" t="inlineStr">
        <is>
          <t>&lt;</t>
        </is>
      </c>
      <c r="K363" t="n">
        <v>11</v>
      </c>
      <c r="L363" t="n">
        <v>1</v>
      </c>
      <c r="M363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3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3" t="inlineStr"/>
      <c r="P363" t="inlineStr"/>
    </row>
    <row r="364">
      <c r="A364" t="inlineStr">
        <is>
          <t>IF_DOOR_CMD</t>
        </is>
      </c>
      <c r="B364" t="inlineStr"/>
      <c r="C364" t="inlineStr"/>
      <c r="D364" t="inlineStr"/>
      <c r="E364" t="inlineStr"/>
      <c r="I364" t="inlineStr">
        <is>
          <t>BOOL</t>
        </is>
      </c>
      <c r="J364" t="inlineStr">
        <is>
          <t>&lt;</t>
        </is>
      </c>
      <c r="K364" t="n">
        <v>11</v>
      </c>
      <c r="L364" t="n">
        <v>2</v>
      </c>
      <c r="M364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4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4" t="inlineStr"/>
      <c r="P364" t="inlineStr"/>
    </row>
    <row r="365">
      <c r="A365" t="inlineStr">
        <is>
          <t>IF_DOOR_CMD</t>
        </is>
      </c>
      <c r="B365" t="inlineStr"/>
      <c r="C365" t="inlineStr"/>
      <c r="D365" t="inlineStr"/>
      <c r="E365" t="inlineStr"/>
      <c r="I365" t="inlineStr">
        <is>
          <t>BOOL</t>
        </is>
      </c>
      <c r="J365" t="inlineStr">
        <is>
          <t>&lt;</t>
        </is>
      </c>
      <c r="K365" t="n">
        <v>11</v>
      </c>
      <c r="L365" t="n">
        <v>3</v>
      </c>
      <c r="M365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5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5" t="inlineStr"/>
      <c r="P365" t="inlineStr"/>
    </row>
    <row r="366">
      <c r="A366" t="inlineStr">
        <is>
          <t>IF_DOOR_CMD</t>
        </is>
      </c>
      <c r="B366" t="inlineStr"/>
      <c r="C366" t="inlineStr"/>
      <c r="D366" t="inlineStr"/>
      <c r="E366" t="inlineStr"/>
      <c r="I366" t="inlineStr">
        <is>
          <t>BOOL</t>
        </is>
      </c>
      <c r="J366" t="inlineStr">
        <is>
          <t>&lt;</t>
        </is>
      </c>
      <c r="K366" t="n">
        <v>11</v>
      </c>
      <c r="L366" t="n">
        <v>4</v>
      </c>
      <c r="M366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6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6" t="inlineStr"/>
      <c r="P366" t="inlineStr"/>
    </row>
    <row r="367">
      <c r="A367" t="inlineStr">
        <is>
          <t>IF_DOOR_CMD</t>
        </is>
      </c>
      <c r="B367" t="inlineStr"/>
      <c r="C367" t="inlineStr"/>
      <c r="D367" t="inlineStr"/>
      <c r="E367" t="inlineStr"/>
      <c r="I367" t="inlineStr">
        <is>
          <t>BOOL</t>
        </is>
      </c>
      <c r="J367" t="inlineStr">
        <is>
          <t>&lt;</t>
        </is>
      </c>
      <c r="K367" t="n">
        <v>11</v>
      </c>
      <c r="L367" t="n">
        <v>5</v>
      </c>
      <c r="M367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7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7" t="inlineStr"/>
      <c r="P367" t="inlineStr"/>
    </row>
    <row r="368">
      <c r="A368" t="inlineStr">
        <is>
          <t>IF_DOOR_CMD</t>
        </is>
      </c>
      <c r="B368" t="inlineStr"/>
      <c r="C368" t="inlineStr"/>
      <c r="D368" t="inlineStr"/>
      <c r="E368" t="inlineStr"/>
      <c r="I368" t="inlineStr">
        <is>
          <t>BOOL</t>
        </is>
      </c>
      <c r="J368" t="inlineStr">
        <is>
          <t>&lt;</t>
        </is>
      </c>
      <c r="K368" t="n">
        <v>11</v>
      </c>
      <c r="L368" t="n">
        <v>6</v>
      </c>
      <c r="M368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8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8" t="inlineStr"/>
      <c r="P368" t="inlineStr"/>
    </row>
    <row r="369">
      <c r="A369" t="inlineStr">
        <is>
          <t>IF_DOOR_CMD</t>
        </is>
      </c>
      <c r="B369" t="inlineStr"/>
      <c r="C369" t="inlineStr"/>
      <c r="D369" t="inlineStr"/>
      <c r="E369" t="inlineStr"/>
      <c r="I369" t="inlineStr">
        <is>
          <t>BOOL</t>
        </is>
      </c>
      <c r="J369" t="inlineStr">
        <is>
          <t>&lt;</t>
        </is>
      </c>
      <c r="K369" t="n">
        <v>11</v>
      </c>
      <c r="L369" t="n">
        <v>7</v>
      </c>
      <c r="M369">
        <f>_xlfn.LET(
    _xlpm.iSynt, $AI$2,
    _xlpm.qSynt, $AJ$2,
    _xlpm.synt, IF(SORTER_SIGNALS[[#This Row],[Direction &lt;/&gt;]] = "&lt;", _xlpm.iSynt, IF(SORTER_SIGNALS[[#This Row],[Direction &lt;/&gt;]] = "&gt;",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$AH$2 + SORTER_SIGNALS[[#This Row],[I/O Offset Byte]]
        ),
        ""
    )
)</f>
        <v/>
      </c>
      <c r="N369">
        <f>_xlfn.LET(
    _xlpm.iSynt, $AI$3,
    _xlpm.qSynt, $AJ$3,
    _xlpm.synt, IF(SORTER_SIGNALS[[#This Row],[Direction &lt;/&gt;]] = "&gt;", _xlpm.iSynt, IF(SORTER_SIGNALS[[#This Row],[Direction &lt;/&gt;]] = "&lt;", _xlpm.qSynt, "")),
    IF(
        _xlpm.synt &lt;&gt; "",
        SUBSTITUTE(
            IF(
                SORTER_SIGNALS[[#This Row],[Data Type]] = "BOOL",
                SUBSTITUTE(SUBSTITUTE(_xlpm.synt, "/", ""), "&lt;bit&gt;", SORTER_SIGNALS[[#This Row],[I/O Bit]]),
                _xlfn.TEXTBEFORE(_xlpm.synt, "/")
            ),
            "&lt;base+offset&gt;",
            $AH$3 + SORTER_SIGNALS[[#This Row],[I/O Offset Byte]]
        ),
        ""
    )
)</f>
        <v/>
      </c>
      <c r="O369" t="inlineStr"/>
      <c r="P369" t="inlineStr"/>
    </row>
  </sheetData>
  <pageMargins left="0.7" right="0.7" top="0.75" bottom="0.75" header="0.3" footer="0.3"/>
  <headerFooter>
    <oddHeader>&amp;L&amp;"Aptos"&amp;1 &amp;K000000 Public#_x000d_</oddHeader>
    <oddFooter/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Dragoi, Bogdan</dc:creator>
  <dcterms:created xsi:type="dcterms:W3CDTF">2015-06-05T18:17:20Z</dcterms:created>
  <dcterms:modified xsi:type="dcterms:W3CDTF">2026-10-08T09:42:25Z</dcterms:modified>
  <cp:lastModifiedBy>DRAGOI Bogdan petre1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d855102-e3c4-49e9-9e1c-4559f787afe5_Enabled" fmtid="{D5CDD505-2E9C-101B-9397-08002B2CF9AE}" pid="2">
    <vt:lpwstr>true</vt:lpwstr>
  </property>
  <property name="MSIP_Label_bd855102-e3c4-49e9-9e1c-4559f787afe5_SetDate" fmtid="{D5CDD505-2E9C-101B-9397-08002B2CF9AE}" pid="3">
    <vt:lpwstr>2026-06-14T01:13:00Z</vt:lpwstr>
  </property>
  <property name="MSIP_Label_bd855102-e3c4-49e9-9e1c-4559f787afe5_Method" fmtid="{D5CDD505-2E9C-101B-9397-08002B2CF9AE}" pid="4">
    <vt:lpwstr>Privileged</vt:lpwstr>
  </property>
  <property name="MSIP_Label_bd855102-e3c4-49e9-9e1c-4559f787afe5_Name" fmtid="{D5CDD505-2E9C-101B-9397-08002B2CF9AE}" pid="5">
    <vt:lpwstr>FIL-IT-C1-Public</vt:lpwstr>
  </property>
  <property name="MSIP_Label_bd855102-e3c4-49e9-9e1c-4559f787afe5_SiteId" fmtid="{D5CDD505-2E9C-101B-9397-08002B2CF9AE}" pid="6">
    <vt:lpwstr>8eeda45f-61e4-4e2c-ac8b-6019b84f9775</vt:lpwstr>
  </property>
  <property name="MSIP_Label_bd855102-e3c4-49e9-9e1c-4559f787afe5_ActionId" fmtid="{D5CDD505-2E9C-101B-9397-08002B2CF9AE}" pid="7">
    <vt:lpwstr>04399b48-df61-470e-82d6-65e85d0892b7</vt:lpwstr>
  </property>
  <property name="MSIP_Label_bd855102-e3c4-49e9-9e1c-4559f787afe5_ContentBits" fmtid="{D5CDD505-2E9C-101B-9397-08002B2CF9AE}" pid="8">
    <vt:lpwstr>1</vt:lpwstr>
  </property>
  <property name="MSIP_Label_bd855102-e3c4-49e9-9e1c-4559f787afe5_Tag" fmtid="{D5CDD505-2E9C-101B-9397-08002B2CF9AE}" pid="9">
    <vt:lpwstr>10, 0, 1, 1</vt:lpwstr>
  </property>
</Properties>
</file>